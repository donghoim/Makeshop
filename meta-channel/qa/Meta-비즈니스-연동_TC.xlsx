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개요" state="visible" r:id="rId4"/>
    <sheet sheetId="2" name="요약" state="visible" r:id="rId5"/>
    <sheet sheetId="3" name="TC" state="visible" r:id="rId6"/>
    <sheet sheetId="4" name="참고_상태·문구" state="visible" r:id="rId7"/>
  </sheets>
  <calcPr calcId="171027" fullCalcOnLoad="1"/>
</workbook>
</file>

<file path=xl/sharedStrings.xml><?xml version="1.0" encoding="utf-8"?>
<sst xmlns="http://schemas.openxmlformats.org/spreadsheetml/2006/main" count="3974" uniqueCount="1603">
  <si>
    <t>Meta 비즈니스 연동 — QA 테스트 케이스</t>
  </si>
  <si>
    <t>프로젝트</t>
  </si>
  <si>
    <t>03_Meta-Channel-Improvement (Meta 비즈니스 연동)</t>
  </si>
  <si>
    <t>메뉴 경로</t>
  </si>
  <si>
    <t>부가서비스 &gt; 부가서비스 &gt; 채널 &gt; Meta 비즈니스 (홈 / 연결 관리 / 상품 피드 / 광고 관리 / Shops 관리)</t>
  </si>
  <si>
    <t>작성 근거</t>
  </si>
  <si>
    <t>05_Policy 1~11장(개요·공통·FBE 연동·연동 완료·연결 관리·상품 피드·선택 상품 카테고리 매칭·광고 관리·API·기타·CAPI·상품 ID 충돌 방지), 04_Screen-Spec 3-1 ~ 3-6-1</t>
  </si>
  <si>
    <t>작성일</t>
  </si>
  <si>
    <t>2026-10-06</t>
  </si>
  <si>
    <t>버전</t>
  </si>
  <si>
    <t>v1.0</t>
  </si>
  <si>
    <t>총 TC 수</t>
  </si>
  <si>
    <t>프로토타입</t>
  </si>
  <si>
    <t>10_Prototype/index.html — 우측 하단 [시나리오 패널]로 연동 상태·자산 조회 실패·연결 해제 실패·광고 계정 상태·결제 방식·네이버/카카오 선행 조건을 전환하여 화면 TC를 재현할 수 있습니다.</t>
  </si>
  <si>
    <t>[유형]</t>
  </si>
  <si>
    <t/>
  </si>
  <si>
    <t>정상</t>
  </si>
  <si>
    <t>정상 플로우가 의도대로 동작하는지 검증</t>
  </si>
  <si>
    <t>예외</t>
  </si>
  <si>
    <t>잘못된 입력, 실패·중단 상황 등 예외 처리 검증</t>
  </si>
  <si>
    <t>Boundary</t>
  </si>
  <si>
    <t>최소/최대값, 경계값 검증 (예: 옵션 300/301개, 1회 전송 100개, 조회기간 경계)</t>
  </si>
  <si>
    <t>Permission</t>
  </si>
  <si>
    <t>Meta 권한·토큰 상태(권한 미허용/회수, 토큰 만료, 자산 접근 권한)에 따른 접근 가능/불가 검증</t>
  </si>
  <si>
    <t>Regression</t>
  </si>
  <si>
    <t>기존 기능(Google 채널, 네이버/카카오 연동, 저장 설정 유지 등)에 영향을 주지 않는지 회귀 검증</t>
  </si>
  <si>
    <t>[우선순위]</t>
  </si>
  <si>
    <t>P1</t>
  </si>
  <si>
    <t>핵심 플로우·정책 위반 시 서비스 장애/오전송으로 이어지는 항목 (릴리즈 차단)</t>
  </si>
  <si>
    <t>P2</t>
  </si>
  <si>
    <t>주요 기능·표시 정합성 항목</t>
  </si>
  <si>
    <t>P3</t>
  </si>
  <si>
    <t>보조 UI·안내 문구·툴팁 등</t>
  </si>
  <si>
    <t>[결과 입력]</t>
  </si>
  <si>
    <t>TC 시트 '결과' 열에서 미수행 / Pass / Fail / Block / N/A 중 선택, 테스터·테스트일·비고(이슈 번호) 입력</t>
  </si>
  <si>
    <t>[참고]</t>
  </si>
  <si>
    <t>화면설계서 내 예시 데이터(계정명·상품명·수치·뱃지 예시 등)는 검증 대상이 아니며, 실제 연동 계정의 Meta API 조회값을 기준으로 확인합니다. '(개발 협조)' 표기 항목은 전송 로그·DB 확인이 필요한 서버 측 검증입니다.</t>
  </si>
  <si>
    <t>테스트 진행 현황</t>
  </si>
  <si>
    <t>영역</t>
  </si>
  <si>
    <t>TC 수</t>
  </si>
  <si>
    <t>미수행</t>
  </si>
  <si>
    <t>Pass</t>
  </si>
  <si>
    <t>Fail</t>
  </si>
  <si>
    <t>Block</t>
  </si>
  <si>
    <t>N/A</t>
  </si>
  <si>
    <t>진행률</t>
  </si>
  <si>
    <t>Pass율</t>
  </si>
  <si>
    <t>진입·홈</t>
  </si>
  <si>
    <t>연결 관리</t>
  </si>
  <si>
    <t>FBE 연동</t>
  </si>
  <si>
    <t>카테고리 매칭(카테고리 단위)</t>
  </si>
  <si>
    <t>상품 피드</t>
  </si>
  <si>
    <t>상품별 카테고리 매칭</t>
  </si>
  <si>
    <t>광고 관리</t>
  </si>
  <si>
    <t>Shops 관리</t>
  </si>
  <si>
    <t>공통</t>
  </si>
  <si>
    <t>합계</t>
  </si>
  <si>
    <t>유형별 분포</t>
  </si>
  <si>
    <t>유형</t>
  </si>
  <si>
    <t>※ 진행률 = (TC 수 − 미수행) ÷ TC 수, Pass율 = Pass ÷ (TC 수 − 미수행 − N/A). 모든 수치는 TC 시트 '결과' 열 입력값으로 자동 계산됩니다.</t>
  </si>
  <si>
    <t>TC ID</t>
  </si>
  <si>
    <t>기능</t>
  </si>
  <si>
    <t>우선순위</t>
  </si>
  <si>
    <t>시나리오</t>
  </si>
  <si>
    <t>사전조건</t>
  </si>
  <si>
    <t>테스트 절차</t>
  </si>
  <si>
    <t>기대 결과</t>
  </si>
  <si>
    <t>근거(정책/화면)</t>
  </si>
  <si>
    <t>결과</t>
  </si>
  <si>
    <t>테스터</t>
  </si>
  <si>
    <t>테스트일</t>
  </si>
  <si>
    <t>비고(이슈 번호)</t>
  </si>
  <si>
    <t>META-HOME-001</t>
  </si>
  <si>
    <t>채널 메뉴</t>
  </si>
  <si>
    <t>채널 목록에 Meta 비즈니스 카드 노출</t>
  </si>
  <si>
    <t>관리자 로그인</t>
  </si>
  <si>
    <t>1. 부가서비스 &gt; 부가서비스 &gt; 채널 진입</t>
  </si>
  <si>
    <t>기존 '페이스북 연동' 카드 대신 'Meta 비즈니스' 카드가 노출된다.</t>
  </si>
  <si>
    <t>정책 2-1 / 화면 3-1</t>
  </si>
  <si>
    <t>META-HOME-002</t>
  </si>
  <si>
    <t>Meta 비즈니스 카드 클릭 시 홈 이동</t>
  </si>
  <si>
    <t>1. 채널 목록에서 Meta 비즈니스 카드 클릭</t>
  </si>
  <si>
    <t>Meta 비즈니스 홈(SCR 3-2) 화면으로 이동하고, 좌측 서브메뉴 '홈'이 활성화된다.</t>
  </si>
  <si>
    <t>화면 3-1 #1</t>
  </si>
  <si>
    <t>META-HOME-003</t>
  </si>
  <si>
    <t>공통 레이아웃</t>
  </si>
  <si>
    <t>페이지 타이틀·브레드크럼·서브메뉴 구성</t>
  </si>
  <si>
    <t xml:space="preserve">1. Meta 비즈니스 메뉴 진입
2. 상단 타이틀/경로/좌측 메뉴 확인</t>
  </si>
  <si>
    <t>타이틀 'Meta 비즈니스'와 [매뉴얼], 경로 '부가서비스 &gt; 부가서비스 &gt; 채널 &gt; Meta 비즈니스', 서브메뉴 홈/연결 관리/상품 피드/광고 관리/Shops 관리가 노출된다.</t>
  </si>
  <si>
    <t>정책 1-1 / 화면 3-2</t>
  </si>
  <si>
    <t>META-HOME-004</t>
  </si>
  <si>
    <t>홈 버튼 노출</t>
  </si>
  <si>
    <t>미연동 상태 홈 버튼</t>
  </si>
  <si>
    <t>Meta 비즈니스 미연동 쇼핑몰(연동 이력 없음)</t>
  </si>
  <si>
    <t xml:space="preserve">1. 홈 진입
2. 4개 영역(연결 관리/상품 피드/광고 관리/Shops 관리) 버튼 확인</t>
  </si>
  <si>
    <t>4개 영역 모두 [설정하기] 버튼만 노출되고 [자세히 보기]는 노출되지 않는다.</t>
  </si>
  <si>
    <t>화면 3-2 공통 버튼 정책</t>
  </si>
  <si>
    <t>META-HOME-005</t>
  </si>
  <si>
    <t>연동 완료 + 카테고리 매칭 완료 상태 홈 버튼</t>
  </si>
  <si>
    <t>FBE 연동 완료 + 카테고리 매칭 저장 완료, 상태별 상품 1건 이상 존재</t>
  </si>
  <si>
    <t xml:space="preserve">1. 홈 진입
2. 4개 영역 버튼 확인</t>
  </si>
  <si>
    <t>4개 영역 모두 [자세히 보기] 버튼만 노출된다. 두 버튼이 동시에 노출되지 않는다.</t>
  </si>
  <si>
    <t>META-HOME-006</t>
  </si>
  <si>
    <t>연동 완료 + 카테고리 미설정 상태의 상품 피드 버튼</t>
  </si>
  <si>
    <t>Meta 비즈니스 FBE 연동 완료(필수 자산 전체 수신), 카테고리 매칭 '다음에 반영' 처리</t>
  </si>
  <si>
    <t xml:space="preserve">1. 홈 진입
2. 상품 피드 영역 버튼 확인</t>
  </si>
  <si>
    <t>상품 피드 영역은 [설정하기]가 노출된다(미설정). 연결 관리/광고 관리/Shops 관리는 [자세히 보기]가 노출된다.</t>
  </si>
  <si>
    <t>화면 3-2 #3</t>
  </si>
  <si>
    <t>META-HOME-007</t>
  </si>
  <si>
    <t>홈 버튼 이동</t>
  </si>
  <si>
    <t>각 영역 버튼 클릭 시 해당 탭 이동</t>
  </si>
  <si>
    <t>1. 연결 관리/상품 피드/광고 관리/Shops 관리 영역의 버튼을 각각 클릭</t>
  </si>
  <si>
    <t>각각 연결 관리 탭/상품 피드 탭/광고 관리 탭/Shops 관리 탭으로 이동한다. 버튼 종류([설정하기]/[자세히 보기])와 무관하게 이동 대상은 동일하다.</t>
  </si>
  <si>
    <t>화면 3-2 #2~#5</t>
  </si>
  <si>
    <t>META-HOME-008</t>
  </si>
  <si>
    <t>서브메뉴</t>
  </si>
  <si>
    <t>좌측 서브메뉴 탭 전환</t>
  </si>
  <si>
    <t>1. 서브메뉴의 각 항목 클릭</t>
  </si>
  <si>
    <t>클릭한 탭 화면으로 전환되고 선택 항목이 활성(파란색, 좌측 바) 상태로 표시된다.</t>
  </si>
  <si>
    <t>화면 3-2</t>
  </si>
  <si>
    <t>META-CONN-001</t>
  </si>
  <si>
    <t>미연동 화면</t>
  </si>
  <si>
    <t>미연동 연결 관리 탭 Empty State</t>
  </si>
  <si>
    <t>1. 연결 관리 탭 진입</t>
  </si>
  <si>
    <t>Meta 로고, '페이스북부터 인스타그램까지, 한 곳에서 간편하게 관리하세요.' 문구, [Facebook Business Extension 시작하기] 버튼, FBE 안내 문구가 노출된다.</t>
  </si>
  <si>
    <t>정책 2장 가이드 안내 / 화면 3-3</t>
  </si>
  <si>
    <t>META-CONN-002</t>
  </si>
  <si>
    <t>개인정보 동의</t>
  </si>
  <si>
    <t>FBE 시작 클릭 시 개인정보 동의 모달 노출</t>
  </si>
  <si>
    <t>1. [Facebook Business Extension 시작하기] 클릭</t>
  </si>
  <si>
    <t>Meta 팝업보다 먼저 '페이스북 채널 개인정보 수집 및 이용 동의' 레이어 모달이 노출된다(0단계).</t>
  </si>
  <si>
    <t>정책 2-5·2-6 0단계 / 화면 3-3-1 #1</t>
  </si>
  <si>
    <t>META-CONN-003</t>
  </si>
  <si>
    <t>동의 모달 구성 확인</t>
  </si>
  <si>
    <t>개인정보 동의 모달 노출</t>
  </si>
  <si>
    <t>1. 모달 내 항목 확인</t>
  </si>
  <si>
    <t>안내 문구, 제3자 제공 동의(필수) 박스, 개인정보 수집·이용 동의(메이크샵) 박스, 유의사항 5개 항목, 필수 체크박스 2개, [확인] 버튼이 노출된다.</t>
  </si>
  <si>
    <t>화면 3-3-1</t>
  </si>
  <si>
    <t>META-CONN-004</t>
  </si>
  <si>
    <t>펼쳐보기 토글</t>
  </si>
  <si>
    <t xml:space="preserve">1. 제3자 제공 동의 [펼쳐보기] 토글 ON
2. 다시 OFF</t>
  </si>
  <si>
    <t>ON 시 약관 상세 내용이 확장 노출되고, OFF 시 접힌다.</t>
  </si>
  <si>
    <t>화면 3-3-1 #1-1</t>
  </si>
  <si>
    <t>META-CONN-005</t>
  </si>
  <si>
    <t>필수 동의 미체크 후 확인</t>
  </si>
  <si>
    <t>1. 체크박스 모두 미체크 상태로 [확인] 클릭</t>
  </si>
  <si>
    <t>Alert '필수 동의 항목에 모두 동의해 주세요.'가 노출되고 Facebook 로그인 위저드가 호출되지 않는다.</t>
  </si>
  <si>
    <t>화면 3-3-1 #3</t>
  </si>
  <si>
    <t>META-CONN-006</t>
  </si>
  <si>
    <t>필수 동의 2건 중 1건만 체크</t>
  </si>
  <si>
    <t xml:space="preserve">1. '제3자 제공 및 국외 이전' 1건만 체크 후 [확인]
2. '개인정보 수집 및 이용' 1건만 체크 후 [확인]</t>
  </si>
  <si>
    <t>두 경우 모두 Alert '필수 동의 항목에 모두 동의해 주세요.'가 노출되고 연동이 진행되지 않는다.</t>
  </si>
  <si>
    <t>화면 3-3-1 #2·#3</t>
  </si>
  <si>
    <t>META-CONN-007</t>
  </si>
  <si>
    <t>필수 동의 2건 체크 후 확인</t>
  </si>
  <si>
    <t xml:space="preserve">1. 필수 체크박스 2건 체크
2. [확인] 클릭</t>
  </si>
  <si>
    <t>모달이 닫히고 Meta Embedded Signup(FBE) 팝업이 실행된다.</t>
  </si>
  <si>
    <t>정책 2-6 / 화면 3-3-1 #3</t>
  </si>
  <si>
    <t>META-CONN-008</t>
  </si>
  <si>
    <t>동의 모달 X 닫기</t>
  </si>
  <si>
    <t>1. 우측 상단 X 클릭</t>
  </si>
  <si>
    <t>모달이 닫히고 연동이 진행되지 않으며 미연동 가이드 화면이 유지된다.</t>
  </si>
  <si>
    <t>정책 2-6 0단계(미동의 시 연동 중단)</t>
  </si>
  <si>
    <t>META-CONN-009</t>
  </si>
  <si>
    <t>연동 중도 포기 후 재시도 시 약관 재노출</t>
  </si>
  <si>
    <t>동의 후 Meta 팝업에서 취소하여 연동 미완료</t>
  </si>
  <si>
    <t>1. [Facebook Business Extension 시작하기] 다시 클릭</t>
  </si>
  <si>
    <t>개인정보 동의 모달이 다시 노출된다(최종 연동 미완료 상태이므로).</t>
  </si>
  <si>
    <t>화면 3-3-1 #1</t>
  </si>
  <si>
    <t>META-FBE-001</t>
  </si>
  <si>
    <t>Embedded Signup</t>
  </si>
  <si>
    <t>FBE 위저드 전체 단계 정상 진행</t>
  </si>
  <si>
    <t>개인정보 동의 완료</t>
  </si>
  <si>
    <t xml:space="preserve">1. Facebook 로그인
2. 권한 동의(계속)
3. Shop 시작하기
4. 비즈니스 포트폴리오 선택
5. Facebook 페이지 선택
6. Instagram 선택
7. 카탈로그/광고 계정/픽셀/커머스 계정 선택
8. 설정 확인 &gt; 계속
9. 권한 허용 &gt; 완료</t>
  </si>
  <si>
    <t>모든 단계가 순서대로 진행되고 완료 화면 후 팝업이 종료된다.</t>
  </si>
  <si>
    <t>정책 2-5 / 화면 3-3-4</t>
  </si>
  <si>
    <t>META-FBE-002</t>
  </si>
  <si>
    <t>연동 완료 처리</t>
  </si>
  <si>
    <t>연동 완료 후 연결 관리 화면 전환</t>
  </si>
  <si>
    <t>FBE 위저드 정상 완료</t>
  </si>
  <si>
    <t>1. 위저드 완료 후 화면 확인</t>
  </si>
  <si>
    <t>연결 관리 탭이 연동 완료 상태 화면으로 전환되고 자산 정보가 노출된다.</t>
  </si>
  <si>
    <t>정책 2-6 연동 완료 이후 즉시 / 정책 3-1</t>
  </si>
  <si>
    <t>META-FBE-003</t>
  </si>
  <si>
    <t>연동 완료 직후 카테고리 매칭 모달 자동 노출</t>
  </si>
  <si>
    <t>FBE 위저드 정상 완료(최초 연동)</t>
  </si>
  <si>
    <t>1. 위저드 완료 직후 화면 확인</t>
  </si>
  <si>
    <t>상품 카테고리 매칭 모달이 1회 자동 노출된다.</t>
  </si>
  <si>
    <t>정책 3-2-2 / 화면 3-3-2</t>
  </si>
  <si>
    <t>META-FBE-004</t>
  </si>
  <si>
    <t>연동 완료 조건</t>
  </si>
  <si>
    <t>필수 자산 미수신 시 연동 완료 처리 안 함</t>
  </si>
  <si>
    <t>1. 위저드에서 필수 자산(BM/페이지/픽셀/카탈로그/광고 계정/커머스) 중 1개 이상 정상 선택·수신되지 않은 상태로 종료</t>
  </si>
  <si>
    <t>연동 완료로 전환되지 않고 최초 연동 가이드 화면이 유지되며 연동 정보가 저장되지 않는다.</t>
  </si>
  <si>
    <t>정책 1-1 핵심 정책 전제 / 3-1</t>
  </si>
  <si>
    <t>META-FBE-005</t>
  </si>
  <si>
    <t>Instagram 스킵 시에도 연동 완료</t>
  </si>
  <si>
    <t xml:space="preserve">1. Instagram 연결 단계에서 'Skip connecting to Instagram' 선택
2. 나머지 단계 정상 완료</t>
  </si>
  <si>
    <t>FBE 연동이 완료 처리되고 연결 관리의 인스타그램 계정은 '미연결'로 표시된다.</t>
  </si>
  <si>
    <t>정책 1-1, 2-7, 3-1</t>
  </si>
  <si>
    <t>META-FBE-006</t>
  </si>
  <si>
    <t>연동 실패/중단</t>
  </si>
  <si>
    <t>Meta 팝업 중간에 닫기</t>
  </si>
  <si>
    <t>개인정보 동의 완료, FBE 위저드 진행 중</t>
  </si>
  <si>
    <t>1. 위저드 중간 단계에서 [취소] 또는 창 닫기(X)</t>
  </si>
  <si>
    <t>연동이 미완료 처리되고 연동 정보가 저장되지 않으며 최초 연동 가이드 화면이 유지된다.</t>
  </si>
  <si>
    <t>정책 3-1-2</t>
  </si>
  <si>
    <t>META-FBE-007</t>
  </si>
  <si>
    <t>권한 동의 단계 미완료</t>
  </si>
  <si>
    <t>1. 위저드의 권한 허용(일괄) 단계에서 동의하지 않고 종료</t>
  </si>
  <si>
    <t>연동 미완료 처리, 최초 연동 가이드 화면 유지.</t>
  </si>
  <si>
    <t>정책 2-6 5단계 / 3-1-2</t>
  </si>
  <si>
    <t>META-FBE-008</t>
  </si>
  <si>
    <t>자산 신규 생성</t>
  </si>
  <si>
    <t>위저드 내 자산 신규 생성 후 연동</t>
  </si>
  <si>
    <t>개인정보 동의 완료, Meta 계정에 카탈로그 미보유</t>
  </si>
  <si>
    <t xml:space="preserve">1. 카탈로그 단계에서 '새로 만들기'로 생성
2. 나머지 정상 완료</t>
  </si>
  <si>
    <t>신규 생성 자산도 동일 스코프로 권한이 포함되어 별도 재동의 없이 연동 완료된다.</t>
  </si>
  <si>
    <t>정책 2-6 5단계</t>
  </si>
  <si>
    <t>META-FBE-009</t>
  </si>
  <si>
    <t>자산 수신</t>
  </si>
  <si>
    <t>연동 완료 시 자산 식별 정보 저장</t>
  </si>
  <si>
    <t xml:space="preserve">1. 연동 완료 후 연결 관리 탭 재진입
2. 개발자도구/DB로 저장값 확인(개발 협조)</t>
  </si>
  <si>
    <t>BM/페이지/픽셀/카탈로그/광고 계정/커머스 계정 ID와 액세스 토큰이 저장되고, 응답에 없는 자산 필드는 미연동으로 처리된다.</t>
  </si>
  <si>
    <t>정책 2-6 6단계, 3-1-1</t>
  </si>
  <si>
    <t>META-CAT-001</t>
  </si>
  <si>
    <t>모달 구성</t>
  </si>
  <si>
    <t>카테고리 매칭 모달 구성</t>
  </si>
  <si>
    <t>카테고리 매칭 모달 노출</t>
  </si>
  <si>
    <t>1. 모달 구성 확인</t>
  </si>
  <si>
    <t>안내 박스, '쇼핑몰 카테고리 | 페이스북 카테고리' 테이블, 유의 문구 2개, [다음에 반영]/[저장] 버튼, X 버튼이 노출된다.</t>
  </si>
  <si>
    <t>화면 3-3-2</t>
  </si>
  <si>
    <t>META-CAT-002</t>
  </si>
  <si>
    <t>매칭 대상</t>
  </si>
  <si>
    <t>최하위(Leaf) 카테고리만 매칭 대상 노출</t>
  </si>
  <si>
    <t>쇼핑몰에 대&gt;중&gt;소 분류 및 하위 분류 없는 중분류 혼재</t>
  </si>
  <si>
    <t>1. 모달의 쇼핑몰 카테고리 목록 확인</t>
  </si>
  <si>
    <t>자식 분류가 없는 최하위 카테고리만 노출되고 하위 분류가 있는 대/중분류는 노출되지 않는다. 뎁스가 불균일해도 잎 노드 기준으로 노출된다.</t>
  </si>
  <si>
    <t>정책 1-9, 1-9-1, 1-9-2 / 화면 3-3-2 #2</t>
  </si>
  <si>
    <t>META-CAT-003</t>
  </si>
  <si>
    <t>카테고리 전체 경로 표시</t>
  </si>
  <si>
    <t>1. 쇼핑몰 카테고리 표기 확인</t>
  </si>
  <si>
    <t>'여성의류 &gt; 아우터 &gt; 코트'와 같이 전체 분류 경로로 표시된다.</t>
  </si>
  <si>
    <t>정책 1-9 / 화면 3-3-2 #2</t>
  </si>
  <si>
    <t>META-CAT-004</t>
  </si>
  <si>
    <t>가상분류는 매칭 대상 제외</t>
  </si>
  <si>
    <t>가상분류(BEST 등) 운영 쇼핑몰</t>
  </si>
  <si>
    <t>1. 모달의 카테고리 목록 확인</t>
  </si>
  <si>
    <t>가상분류는 노출되지 않고 기본분류만 노출된다.</t>
  </si>
  <si>
    <t>정책 1-9-3, 3-2-3</t>
  </si>
  <si>
    <t>META-CAT-005</t>
  </si>
  <si>
    <t>GPC 선택</t>
  </si>
  <si>
    <t>GPC 드롭다운 선택</t>
  </si>
  <si>
    <t xml:space="preserve">1. 페이스북 카테고리 드롭다운 클릭
2. GPC 항목 선택</t>
  </si>
  <si>
    <t>메이크샵 DB 적재 GPC 목록이 노출되고 선택한 값이 해당 카테고리에 표시된다.</t>
  </si>
  <si>
    <t>정책 3-2-1 / 화면 3-3-2 #3-1</t>
  </si>
  <si>
    <t>META-CAT-006</t>
  </si>
  <si>
    <t>GPC 드롭다운 검색</t>
  </si>
  <si>
    <t>GPC 드롭다운 펼침</t>
  </si>
  <si>
    <t>1. 검색어 입력(예: '코트')</t>
  </si>
  <si>
    <t>검색어를 포함한 GPC 항목만 필터링되고, 결과가 없으면 '검색 결과가 없습니다.'가 노출된다.</t>
  </si>
  <si>
    <t>화면 3-3-2 #3-1</t>
  </si>
  <si>
    <t>META-CAT-007</t>
  </si>
  <si>
    <t>GPC 기본값</t>
  </si>
  <si>
    <t>미매칭 카테고리 기본값</t>
  </si>
  <si>
    <t>GPC 매핑 이력 없는 카테고리</t>
  </si>
  <si>
    <t>1. 모달에서 해당 카테고리 확인</t>
  </si>
  <si>
    <t>'카테고리를 선택해주세요' 미선택 상태로 노출된다.</t>
  </si>
  <si>
    <t>정책 3-3 / 화면 3-3-2 #3-1</t>
  </si>
  <si>
    <t>META-CAT-008</t>
  </si>
  <si>
    <t>GPC 공통 매핑</t>
  </si>
  <si>
    <t>Google 채널에서 먼저 설정한 GPC 기본 적용</t>
  </si>
  <si>
    <t>Google 채널에서 해당 카테고리 GPC 설정 완료</t>
  </si>
  <si>
    <t>1. Meta 카테고리 매칭 모달 진입</t>
  </si>
  <si>
    <t>Google에서 설정한 동일 GPC가 기본 선택값으로 노출된다.</t>
  </si>
  <si>
    <t>정책 3-3 / 화면 3-3-2 GPC 기본값</t>
  </si>
  <si>
    <t>META-CAT-009</t>
  </si>
  <si>
    <t>Meta에서 GPC 변경 시 Google 채널 반영</t>
  </si>
  <si>
    <t>Meta·Google 모두 연동, 동일 카테고리 GPC 설정</t>
  </si>
  <si>
    <t xml:space="preserve">1. Meta 모달에서 GPC 변경 후 저장
2. Google 채널 카테고리 매칭 화면 진입</t>
  </si>
  <si>
    <t>변경된 GPC가 공통 값으로 저장되어 Google 채널에서도 동일 값으로 노출된다. 기존 Google 피드 반영 시점은 Google 동기화 정책을 따른다.</t>
  </si>
  <si>
    <t>META-CAT-010</t>
  </si>
  <si>
    <t>저장</t>
  </si>
  <si>
    <t>매칭 저장</t>
  </si>
  <si>
    <t xml:space="preserve">1. 1개 이상 카테고리에 GPC 선택
2. [저장] 클릭</t>
  </si>
  <si>
    <t>Alert '상품 카테고리 매칭이 저장되었습니다.' 노출 후 모달이 닫히고, 매칭 정보가 저장된다.</t>
  </si>
  <si>
    <t>정책 9-2 매칭 저장 / 화면 3-3-2 #5</t>
  </si>
  <si>
    <t>META-CAT-011</t>
  </si>
  <si>
    <t>저장 후 상품 상태 미전송 처리(즉시 전송 X)</t>
  </si>
  <si>
    <t>카테고리 매칭 저장 완료, 노출제한 조건 없는 상품 존재</t>
  </si>
  <si>
    <t>1. 상품 피드 탭 &gt; 미전송 탭 확인</t>
  </si>
  <si>
    <t>매칭된 카테고리의 상품이 미전송 상태로 표시되며 Meta로 즉시 전송되지 않는다.</t>
  </si>
  <si>
    <t>정책 5-2, 5-2-6, 5-4-3 / 화면 3-3-2 안내문·#5</t>
  </si>
  <si>
    <t>META-CAT-012</t>
  </si>
  <si>
    <t>매칭되었으나 노출제한 조건 상품</t>
  </si>
  <si>
    <t>카테고리 매칭 저장, 판매가 0원 상품이 해당 카테고리에 포함</t>
  </si>
  <si>
    <t>1. 상품 피드 탭에서 해당 상품 상태 확인</t>
  </si>
  <si>
    <t>카테고리 매칭과 무관하게 '노출제한' 상태로 표시된다.</t>
  </si>
  <si>
    <t>정책 5-2 최초 연동 상태</t>
  </si>
  <si>
    <t>META-CAT-013</t>
  </si>
  <si>
    <t>일부 카테고리만 매칭 후 저장</t>
  </si>
  <si>
    <t>1. 일부 카테고리만 GPC 선택 후 [저장]</t>
  </si>
  <si>
    <t>선택한 카테고리 상품은 미전송(또는 노출제한), 미선택 카테고리 상품은 '사용안함'으로 처리된다.</t>
  </si>
  <si>
    <t>정책 3-2-4, 5-2</t>
  </si>
  <si>
    <t>META-CAT-014</t>
  </si>
  <si>
    <t>다음에 반영</t>
  </si>
  <si>
    <t>다음에 반영 → Confirm 확인</t>
  </si>
  <si>
    <t xml:space="preserve">1. [다음에 반영] 클릭
2. Confirm에서 [확인]</t>
  </si>
  <si>
    <t>Confirm '카테고리를 매칭하지 않은 상품은 피드에서 제외되어 Meta에 노출되지 않습니다. 다음에 반영하시겠습니까?' 노출 후 [확인] 시 모달이 종료된다.</t>
  </si>
  <si>
    <t>정책 9-2 미매칭 닫기 / 화면 3-3-2 #4</t>
  </si>
  <si>
    <t>META-CAT-015</t>
  </si>
  <si>
    <t>다음에 반영 → Confirm 취소</t>
  </si>
  <si>
    <t xml:space="preserve">1. [다음에 반영] 클릭
2. Confirm에서 [취소]</t>
  </si>
  <si>
    <t>Confirm만 닫히고 매칭 모달과 선택 상태가 유지된다.</t>
  </si>
  <si>
    <t>화면 3-3-2 #4</t>
  </si>
  <si>
    <t>META-CAT-016</t>
  </si>
  <si>
    <t>X 버튼으로 닫기</t>
  </si>
  <si>
    <t>저장하지 않고 종료 처리되며 [다음에 반영]과 동일하게 동작한다.</t>
  </si>
  <si>
    <t>화면 3-3-2 #1</t>
  </si>
  <si>
    <t>META-CAT-017</t>
  </si>
  <si>
    <t>다음에 반영 후 연결 관리 상품 피드 영역</t>
  </si>
  <si>
    <t>최초 연동 직후 [다음에 반영] 처리</t>
  </si>
  <si>
    <t>1. 연결 관리 탭 상품 피드 영역 확인</t>
  </si>
  <si>
    <t>카테고리 설정 '미설정', 상품개수 0개, 상태별 집계 모두 0, 최근 업데이트 미노출, 상태바 초기 상태로 표시된다.</t>
  </si>
  <si>
    <t>화면 3-3-3 #3</t>
  </si>
  <si>
    <t>META-CAT-018</t>
  </si>
  <si>
    <t>다음에 반영 후 상품 상태</t>
  </si>
  <si>
    <t>1. 상품 피드 탭 진입</t>
  </si>
  <si>
    <t>카테고리 미매칭 상품은 전송에서 제외되고 '사용안함' 상태로 표시된다.</t>
  </si>
  <si>
    <t>META-CAT-019</t>
  </si>
  <si>
    <t>재진입</t>
  </si>
  <si>
    <t>연결 관리에서 매칭 모달 재진입</t>
  </si>
  <si>
    <t>Meta 비즈니스 FBE 연동 완료(필수 자산 전체 수신)</t>
  </si>
  <si>
    <t>1. 연결 관리 &gt; 상품 피드 &gt; [상품 카테고리 매칭] 클릭</t>
  </si>
  <si>
    <t>최초 연동 시 모달과 동일한 구성의 매칭 모달이 노출되고 기존 저장값이 선택되어 있다.</t>
  </si>
  <si>
    <t>정책 4-2-2 / 화면 3-3-3 #3-1</t>
  </si>
  <si>
    <t>META-CAT-020</t>
  </si>
  <si>
    <t>의류 속성</t>
  </si>
  <si>
    <t>카테고리 단위 매칭에서 의류 GPC 선택</t>
  </si>
  <si>
    <t>1. 의류 계열 GPC 선택</t>
  </si>
  <si>
    <t>카테고리 단위 매칭에서는 성별/연령대 설정 항목이 노출되지 않는다.</t>
  </si>
  <si>
    <t>화면 3-3-2 #1 ※, 3-3-3 #3-1</t>
  </si>
  <si>
    <t>META-CAT-021</t>
  </si>
  <si>
    <t>기존 전송 상품</t>
  </si>
  <si>
    <t>기존 활동중 상품의 카테고리 GPC 변경</t>
  </si>
  <si>
    <t>FBE 연동 완료 + 카테고리 매칭 저장 완료, 상태별 상품 1건 이상 존재, 활동중 상품의 카테고리 GPC 변경</t>
  </si>
  <si>
    <t xml:space="preserve">1. 카테고리 매칭에서 해당 카테고리 GPC 변경 후 저장
2. 상품 피드에서 상품 상태 확인</t>
  </si>
  <si>
    <t>변경 사항이 Meta에 반영되지 않았으므로 상품 상태가 '미전송'으로 변경된다. Meta로 즉시 전송되지 않는다.</t>
  </si>
  <si>
    <t>정책 5-2-4, 5-4-3</t>
  </si>
  <si>
    <t>META-CAT-022</t>
  </si>
  <si>
    <t>상품 단위 우선</t>
  </si>
  <si>
    <t>상품 단위 GPC가 있는 상품은 카테고리 일괄 변경 영향 없음</t>
  </si>
  <si>
    <t>상품 단위로 GPC 직접 설정된 상품 존재</t>
  </si>
  <si>
    <t xml:space="preserve">1. 해당 상품의 카테고리 GPC를 다른 값으로 변경·저장
2. 상품 상세 확인</t>
  </si>
  <si>
    <t>상품 단위로 설정한 GPC가 유지된다(상품 단위 값 우선).</t>
  </si>
  <si>
    <t>정책 6-3 / 화면 3-4-2 #1</t>
  </si>
  <si>
    <t>META-CAT-023</t>
  </si>
  <si>
    <t>복수 카테고리</t>
  </si>
  <si>
    <t>복수 카테고리 소속 상품 GPC</t>
  </si>
  <si>
    <t>상품이 기본 분류와 가상분류에 동시 소속</t>
  </si>
  <si>
    <t xml:space="preserve">1. 기본 분류와 가상분류 경로에 서로 다른 GPC 매칭
2. 전송 데이터 확인(개발 협조)</t>
  </si>
  <si>
    <t>가상분류가 아닌 기본 분류(대표 카테고리)에 매칭된 GPC가 전송된다.</t>
  </si>
  <si>
    <t>정책 1-9-3</t>
  </si>
  <si>
    <t>META-CONN-010</t>
  </si>
  <si>
    <t>안내 배너</t>
  </si>
  <si>
    <t>연결 관리 Information 배너</t>
  </si>
  <si>
    <t xml:space="preserve">1. 연결 관리 탭 진입
2. [자세히보기] 클릭</t>
  </si>
  <si>
    <t>연결 관리 안내 문구가 노출되고 [자세히보기] 클릭 시 FBE 상세 안내 페이지가 새 탭으로 열린다(URL 제공 시).</t>
  </si>
  <si>
    <t>화면 3-3-3 #1</t>
  </si>
  <si>
    <t>META-CONN-011</t>
  </si>
  <si>
    <t>자산 정보 표시</t>
  </si>
  <si>
    <t>비즈니스 자산 연동 정보 표시 항목</t>
  </si>
  <si>
    <t>1. 비즈니스 자산 연동 정보 영역 확인</t>
  </si>
  <si>
    <t>페이스북 계정(이메일/휴대폰 + 연결됨 라벨), 비즈니스 관리자명, 페이지명, '픽셀 ID : {pixel_id}', 커머스 계정명, 인스타그램 '@username'이 노출된다.</t>
  </si>
  <si>
    <t>정책 4-1-2 / 화면 3-3-3 #2</t>
  </si>
  <si>
    <t>META-CONN-012</t>
  </si>
  <si>
    <t>자산 정보 실시간 조회</t>
  </si>
  <si>
    <t xml:space="preserve">1. Meta 비즈니스 관리자에서 페이지명 변경
2. 연결 관리 탭 재진입</t>
  </si>
  <si>
    <t>화면 진입 시 Meta API로 조회하여 변경된 페이지명이 반영된다.</t>
  </si>
  <si>
    <t>정책 1-2, 4-1</t>
  </si>
  <si>
    <t>META-CONN-013</t>
  </si>
  <si>
    <t>자산 정보 직접 수정 불가</t>
  </si>
  <si>
    <t>1. 자산 정보 영역에서 편집 가능 요소 확인</t>
  </si>
  <si>
    <t>모든 자산 정보는 조회 전용이며 입력/수정 UI가 제공되지 않는다.</t>
  </si>
  <si>
    <t>META-CONN-014</t>
  </si>
  <si>
    <t>자산 상태</t>
  </si>
  <si>
    <t>인스타그램 미연동(스킵) 표시</t>
  </si>
  <si>
    <t>Meta 비즈니스 FBE 연동 완료(필수 자산 전체 수신), FBE에서 Instagram 스킵</t>
  </si>
  <si>
    <t>1. 인스타그램 계정 행 확인</t>
  </si>
  <si>
    <t>'미연결' 표기, 인스타그램 설정 바로가기는 노출되지 않는다.</t>
  </si>
  <si>
    <t>정책 1-2, 4-1-2 / 화면 3-3-3 #2</t>
  </si>
  <si>
    <t>META-CONN-015</t>
  </si>
  <si>
    <t>자산 권한 회수 시 확인불가 표시</t>
  </si>
  <si>
    <t>Meta 비즈니스 FBE 연동 완료(필수 자산 전체 수신), Meta에서 페이지 접근 권한 회수</t>
  </si>
  <si>
    <t>해당 자산이 '확인불가'로 표시되고 [설정]을 통한 재연동/권한 재승인 안내가 노출되며 바로가기는 노출되지 않는다.</t>
  </si>
  <si>
    <t>정책 1-2 자산 상태 판정, 1-3, 1-4</t>
  </si>
  <si>
    <t>META-CONN-016</t>
  </si>
  <si>
    <t>액세스 토큰 만료 시 확인불가</t>
  </si>
  <si>
    <t>Meta 비즈니스 FBE 연동 완료(필수 자산 전체 수신), 토큰 만료 상태</t>
  </si>
  <si>
    <t>조회 실패 자산이 '확인불가'로 표시된다. 전체 FBE 연동 상태는 유지된다.</t>
  </si>
  <si>
    <t>정책 1-1 a, 1-2</t>
  </si>
  <si>
    <t>META-CONN-017</t>
  </si>
  <si>
    <t>Meta에서 개별 자산 삭제</t>
  </si>
  <si>
    <t>Meta 비즈니스 FBE 연동 완료(필수 자산 전체 수신), Meta에서 픽셀 삭제</t>
  </si>
  <si>
    <t>전체 연동 상태와 별개로 해당 자산만 미연동 또는 확인불가로 표시된다.</t>
  </si>
  <si>
    <t>정책 1-1 핵심 정책 전제 a</t>
  </si>
  <si>
    <t>META-CONN-018</t>
  </si>
  <si>
    <t>바로가기</t>
  </si>
  <si>
    <t>비즈니스 관리자 바로가기 URL</t>
  </si>
  <si>
    <t>1. [비즈니스 관리자 바로가기] 클릭</t>
  </si>
  <si>
    <t>새 탭으로 https://business.facebook.com/settings/info?business_id={business_id} 가 열린다.</t>
  </si>
  <si>
    <t>화면 3-3-3 #2 바로가기</t>
  </si>
  <si>
    <t>META-CONN-019</t>
  </si>
  <si>
    <t>페이지 바로가기 URL</t>
  </si>
  <si>
    <t>1. [페이지 바로가기] 클릭</t>
  </si>
  <si>
    <t>새 탭으로 https://www.facebook.com/{page_id} 가 열리며 business_id는 포함되지 않는다.</t>
  </si>
  <si>
    <t>정책 1-3, 9-1 / 화면 3-3-3</t>
  </si>
  <si>
    <t>META-CONN-020</t>
  </si>
  <si>
    <t>이벤트 관리자 바로가기 URL</t>
  </si>
  <si>
    <t>1. [이벤트 관리자 바로가기] 클릭</t>
  </si>
  <si>
    <t>새 탭으로 https://business.facebook.com/events_manager2/list/pixel/{pixel_id}/overview?business_id={business_id} 가 열린다.</t>
  </si>
  <si>
    <t>화면 3-3-3</t>
  </si>
  <si>
    <t>META-CONN-021</t>
  </si>
  <si>
    <t>커머스 관리자 바로가기 URL</t>
  </si>
  <si>
    <t>1. [커머스 관리자 바로가기] 클릭</t>
  </si>
  <si>
    <t>새 탭으로 https://business.facebook.com/commerce_manager/?business_id={business_id} 가 열린다.</t>
  </si>
  <si>
    <t>META-CONN-022</t>
  </si>
  <si>
    <t>인스타그램 설정 바로가기 URL</t>
  </si>
  <si>
    <t>Meta 비즈니스 FBE 연동 완료(필수 자산 전체 수신), IG 연결</t>
  </si>
  <si>
    <t>1. [인스타그램 설정 바로가기] 클릭</t>
  </si>
  <si>
    <t>새 탭으로 https://business.facebook.com/settings/instagram-accounts?business_id={business_id} 가 열린다.</t>
  </si>
  <si>
    <t>META-CONN-023</t>
  </si>
  <si>
    <t>자산 ID 없거나 접근 권한 없는 경우 바로가기 미노출</t>
  </si>
  <si>
    <t>Meta 비즈니스 FBE 연동 완료(필수 자산 전체 수신), 특정 자산 접근 권한 없음</t>
  </si>
  <si>
    <t>1. 해당 자산 행 확인</t>
  </si>
  <si>
    <t>바로가기 링크가 노출되지 않는다.</t>
  </si>
  <si>
    <t>정책 1-3</t>
  </si>
  <si>
    <t>META-CONN-024</t>
  </si>
  <si>
    <t>다른 Meta 계정으로 로그인된 브라우저에서 바로가기</t>
  </si>
  <si>
    <t>Meta 비즈니스 FBE 연동 완료(필수 자산 전체 수신), 브라우저에 다른 Meta 계정 로그인</t>
  </si>
  <si>
    <t>1. 임의 바로가기 클릭</t>
  </si>
  <si>
    <t>Meta 기본 동작에 따라 로그인/권한/자산 선택 화면이 노출될 수 있으며 메이크샵 화면에는 영향이 없다.</t>
  </si>
  <si>
    <t>정책 1-3, 9-1</t>
  </si>
  <si>
    <t>META-CONN-025</t>
  </si>
  <si>
    <t>접기/펼치기</t>
  </si>
  <si>
    <t>섹션 접기/펼치기</t>
  </si>
  <si>
    <t xml:space="preserve">1. 비즈니스 자산 연동 정보 우측 화살표 클릭
2. 다시 클릭</t>
  </si>
  <si>
    <t>영역 전체가 접히고 다시 펼쳐진다.</t>
  </si>
  <si>
    <t>정책 4-1-1</t>
  </si>
  <si>
    <t>META-CONN-026</t>
  </si>
  <si>
    <t>설정(재연결)</t>
  </si>
  <si>
    <t>[설정] 클릭 시 FBE 재설정</t>
  </si>
  <si>
    <t xml:space="preserve">1. 비즈니스 자산 연동 정보 [설정] 클릭
2. 위저드에서 페이지 변경 후 완료</t>
  </si>
  <si>
    <t>Meta Embedded Signup(재연결)이 실행되고, 완료 시 자산 정보 영역이 변경된 값으로 자동 갱신된다. 개인정보 동의 모달은 노출되지 않는다.</t>
  </si>
  <si>
    <t>정책 4-1-3 / 화면 3-3-3 #2-2</t>
  </si>
  <si>
    <t>META-CONN-027</t>
  </si>
  <si>
    <t>재설정 위저드 취소</t>
  </si>
  <si>
    <t xml:space="preserve">1. [설정] 클릭
2. 위저드 중간에 취소</t>
  </si>
  <si>
    <t>기존 자산 연결 정보가 그대로 유지된다.</t>
  </si>
  <si>
    <t>정책 3-1-2 / 화면 3-3-3 #2-2</t>
  </si>
  <si>
    <t>META-CONN-028</t>
  </si>
  <si>
    <t>Instagram 추가 연동</t>
  </si>
  <si>
    <t>Meta 비즈니스 FBE 연동 완료(필수 자산 전체 수신), IG 미연결</t>
  </si>
  <si>
    <t xml:space="preserve">1. [설정] 클릭
2. Instagram 계정 선택 후 완료</t>
  </si>
  <si>
    <t>인스타그램 계정이 '@username'으로 표시되고 바로가기가 노출된다.</t>
  </si>
  <si>
    <t>정책 1-1, 4-1-2</t>
  </si>
  <si>
    <t>META-CONN-029</t>
  </si>
  <si>
    <t>Commerce 계정 변경</t>
  </si>
  <si>
    <t>Commerce 계정 변경 시 피드 초기화</t>
  </si>
  <si>
    <t xml:space="preserve">1. [설정]으로 다른 Commerce 계정 선택 후 완료
2. 상품 피드 탭 확인</t>
  </si>
  <si>
    <t>기존 상품 피드 상태값 및 전송 정보가 초기화되고, 전송 가능한 상품은 미전송 상태로 표시된다.</t>
  </si>
  <si>
    <t>정책 4-2-4</t>
  </si>
  <si>
    <t>META-CONN-030</t>
  </si>
  <si>
    <t>이전 Commerce 계정 재연결 시 중복 미생성</t>
  </si>
  <si>
    <t>Commerce 계정 A→B→A로 변경</t>
  </si>
  <si>
    <t>1. 상품 재전송 후 Meta 카탈로그 확인(개발 협조)</t>
  </si>
  <si>
    <t>retailer_id(메이크샵 상품번호) 기준 UPSERT로 처리되어 동일 상품이 중복 생성되지 않는다.</t>
  </si>
  <si>
    <t>정책 4-2-4, 11-4</t>
  </si>
  <si>
    <t>META-CONN-031</t>
  </si>
  <si>
    <t>연결 해제</t>
  </si>
  <si>
    <t>연결 해제 Confirm 노출</t>
  </si>
  <si>
    <t>1. [연결 해제] 클릭</t>
  </si>
  <si>
    <t>Confirm '연결을 해제하면 Meta 상품 피드 동기화, 광고 계정 조회 및 전환 추적 기능이 중단됩니다. 이미 Meta에 전달된 정보의 삭제는 Meta 정책에 따릅니다. 연결을 해제하시겠습니까?'가 노출된다.</t>
  </si>
  <si>
    <t>정책 4-1-4 / 화면 3-3-3 #2-1</t>
  </si>
  <si>
    <t>META-CONN-032</t>
  </si>
  <si>
    <t>연결 해제 Confirm 취소</t>
  </si>
  <si>
    <t>1. [연결 해제] &gt; [취소]</t>
  </si>
  <si>
    <t>연결 해제가 진행되지 않고 현재 화면이 유지된다.</t>
  </si>
  <si>
    <t>화면 3-3-3 #2-1</t>
  </si>
  <si>
    <t>META-CONN-033</t>
  </si>
  <si>
    <t>연결 해제 성공</t>
  </si>
  <si>
    <t>1. [연결 해제] &gt; [확인]</t>
  </si>
  <si>
    <t>Meta 연동 해제 API가 호출되고, 미연동 상태로 전환되어 최초 연동 가이드 화면으로 복귀한다.</t>
  </si>
  <si>
    <t>정책 1-5, 4-1-4</t>
  </si>
  <si>
    <t>META-CONN-034</t>
  </si>
  <si>
    <t>연결 해제 후 전 탭 미연동 전환</t>
  </si>
  <si>
    <t>1. 홈/상품 피드/광고 관리/Shops 관리 탭 확인</t>
  </si>
  <si>
    <t>모든 탭이 미연동 Empty State로 표시되고 홈의 4개 영역 버튼은 [설정하기]로 노출된다.</t>
  </si>
  <si>
    <t>정책 1-5</t>
  </si>
  <si>
    <t>META-CONN-035</t>
  </si>
  <si>
    <t>연결 해제 후 피드·전환 전송 중단</t>
  </si>
  <si>
    <t xml:space="preserve">1. 상품 수정 및 외부결제 주문 발생
2. Meta 전송 로그 확인(개발 협조)</t>
  </si>
  <si>
    <t>상품 피드 전송, 픽셀·CAPI 이벤트 전송이 중단된다.</t>
  </si>
  <si>
    <t>정책 1-5, 8-1</t>
  </si>
  <si>
    <t>META-CONN-036</t>
  </si>
  <si>
    <t>일부 자산이 Meta에서 삭제된 상태로 해제</t>
  </si>
  <si>
    <t>Meta 비즈니스 FBE 연동 완료(필수 자산 전체 수신), Meta에서 페이지 삭제</t>
  </si>
  <si>
    <t>FBE 설치가 유효하면 정상 해제 처리된다.</t>
  </si>
  <si>
    <t>정책 4-1-4 정상 처리</t>
  </si>
  <si>
    <t>META-CONN-037</t>
  </si>
  <si>
    <t>이미 해제된 상태에서 해제 요청</t>
  </si>
  <si>
    <t>Meta 측에서 이미 FBE 해제됨</t>
  </si>
  <si>
    <t>정상 처리로 간주하고 미연동 상태로 전환된다.</t>
  </si>
  <si>
    <t>META-CONN-038</t>
  </si>
  <si>
    <t>연결 해제 실패 - 통신·서버 오류</t>
  </si>
  <si>
    <t>Meta 비즈니스 FBE 연동 완료(필수 자산 전체 수신), 네트워크/Meta 서버 오류 발생</t>
  </si>
  <si>
    <t>Alert '연결 해제에 실패했습니다. 잠시 후 다시 시도해 주세요.' 노출, 연동 상태 유지.</t>
  </si>
  <si>
    <t>정책 4-1-4, 9-2 / 화면 3-3-3</t>
  </si>
  <si>
    <t>META-CONN-039</t>
  </si>
  <si>
    <t>연결 해제 실패 - 인증·권한 오류</t>
  </si>
  <si>
    <t>Meta 비즈니스 FBE 연동 완료(필수 자산 전체 수신), 액세스 토큰 만료/권한 회수</t>
  </si>
  <si>
    <t>Alert '연결 해제 권한이 만료되었습니다. 다시 로그인 후 시도해 주세요.' 노출, 연동 상태 유지.</t>
  </si>
  <si>
    <t>정책 4-1-4, 9-2</t>
  </si>
  <si>
    <t>META-CONN-040</t>
  </si>
  <si>
    <t>상품 피드 요약</t>
  </si>
  <si>
    <t>카탈로그 연동 상품 요약 바</t>
  </si>
  <si>
    <t>1. 연결 관리 &gt; 상품 피드 영역 확인</t>
  </si>
  <si>
    <t>상품개수, 최근 업데이트 일시, 상태별 비율 바, 범례(활동중/검토중/미승인/노출제한/사용안함/미전송 + 건수)가 노출된다.</t>
  </si>
  <si>
    <t>정책 4-2-3 / 화면 3-3-3 #3</t>
  </si>
  <si>
    <t>META-CONN-041</t>
  </si>
  <si>
    <t>카테고리 설정 상태 표시</t>
  </si>
  <si>
    <t>1. 카테고리 설정 행 확인</t>
  </si>
  <si>
    <t>매칭 저장 상태이면 '설정완료'가 표시된다.</t>
  </si>
  <si>
    <t>META-CONN-042</t>
  </si>
  <si>
    <t>요약 수치와 상품 피드 탭 수치 일치</t>
  </si>
  <si>
    <t xml:space="preserve">1. 연결 관리 요약 범례 건수 확인
2. 상품 피드 탭 상태 탭 건수 비교(검색어 없음)</t>
  </si>
  <si>
    <t>상태별 건수가 동일하다.</t>
  </si>
  <si>
    <t>정책 4-2-3</t>
  </si>
  <si>
    <t>META-CONN-043</t>
  </si>
  <si>
    <t>카탈로그 연동 상품 툴팁</t>
  </si>
  <si>
    <t xml:space="preserve">1. '카탈로그 연동 상품' (?) 클릭
2. 미승인 [자세히보기] 클릭</t>
  </si>
  <si>
    <t>6개 상태 설명 레이어가 노출되고, [자세히보기] 클릭 시 상품 피드 탭의 해당 상태 탭으로 이동한다.</t>
  </si>
  <si>
    <t>화면 3-3-3 툴팁</t>
  </si>
  <si>
    <t>META-CONN-044</t>
  </si>
  <si>
    <t>광고 관리 요약</t>
  </si>
  <si>
    <t>광고 계정 요약 및 바로가기</t>
  </si>
  <si>
    <t xml:space="preserve">1. 광고 관리 영역 확인
2. [광고 계정 바로가기] 클릭</t>
  </si>
  <si>
    <t>광고 계정명이 표시되고 새 탭으로 https://adsmanager.facebook.com/adsmanager/manage/campaigns?act={ad_account_id}&amp;business_id={business_id} 가 열린다.</t>
  </si>
  <si>
    <t>정책 4-3 / 화면 3-3-3 #4</t>
  </si>
  <si>
    <t>META-CONN-045</t>
  </si>
  <si>
    <t>광고 계정 ID act_ 접두어 제거</t>
  </si>
  <si>
    <t>Meta 비즈니스 FBE 연동 완료(필수 자산 전체 수신), API 응답 광고 계정 ID 'act_123456789'</t>
  </si>
  <si>
    <t>1. [광고 계정 바로가기] URL 확인</t>
  </si>
  <si>
    <t>act 파라미터에 접두어를 제거한 숫자(123456789)만 바인딩된다.</t>
  </si>
  <si>
    <t>정책 9-1 / 화면 3-3-3 #4</t>
  </si>
  <si>
    <t>META-CONN-046</t>
  </si>
  <si>
    <t>광고 관리 영역 [설정]</t>
  </si>
  <si>
    <t>1. 광고 관리 영역 [설정] 클릭</t>
  </si>
  <si>
    <t>Meta Embedded Signup(FBE) 위저드가 호출되고 완료 시 변경된 광고 계정 정보가 갱신된다.</t>
  </si>
  <si>
    <t>화면 3-3-3 #4-1</t>
  </si>
  <si>
    <t>META-CONN-047</t>
  </si>
  <si>
    <t>도메인 인증 안내</t>
  </si>
  <si>
    <t>도메인 미인증 시 안내 영역 노출</t>
  </si>
  <si>
    <t>Meta 비즈니스 FBE 연동 완료(필수 자산 전체 수신), 쇼핑몰 도메인 Meta 미인증</t>
  </si>
  <si>
    <t>1. 연결 관리 탭 확인</t>
  </si>
  <si>
    <t>도메인 인증 안내 영역(3단계 카드, 72시간 안내, 바로가기)이 노출된다.</t>
  </si>
  <si>
    <t>정책 1-7 / 화면 3-3-3 #5</t>
  </si>
  <si>
    <t>META-CONN-048</t>
  </si>
  <si>
    <t>도메인 인증 완료 시 안내 영역 미노출</t>
  </si>
  <si>
    <t>Meta 비즈니스 FBE 연동 완료(필수 자산 전체 수신), 쇼핑몰 도메인 Meta 인증 완료</t>
  </si>
  <si>
    <t>도메인 인증 안내 영역이 노출되지 않으며 별도 인증 상태값도 표시되지 않는다.</t>
  </si>
  <si>
    <t>정책 1-7</t>
  </si>
  <si>
    <t>META-CONN-049</t>
  </si>
  <si>
    <t>도메인 인증 [자세히 보기]/바로가기</t>
  </si>
  <si>
    <t>Meta 비즈니스 FBE 연동 완료(필수 자산 전체 수신), 도메인 미인증</t>
  </si>
  <si>
    <t xml:space="preserve">1. [자세히 보기] 클릭
2. [Meta 비즈니스 관리자 바로가기] 클릭</t>
  </si>
  <si>
    <t>각각 https://www.facebook.com/business/help/321167023127050, Meta 비즈니스 관리자 도메인 설정 화면이 새 탭으로 열린다. 메이크샵에서는 인증 기능을 제공하지 않는다.</t>
  </si>
  <si>
    <t>정책 2-4 / 화면 3-3-3 #5</t>
  </si>
  <si>
    <t>META-FEED-001</t>
  </si>
  <si>
    <t>미연동 상품 피드 Empty State</t>
  </si>
  <si>
    <t>'비즈니스 자산 연동 후 상품 피드를 사용할 수 있습니다.' 안내와 [비즈니스 자산 설정하기] 버튼이 노출되고 피드 조회·관리 기능은 사용할 수 없다.</t>
  </si>
  <si>
    <t>정책 5-1 / 화면 3-4</t>
  </si>
  <si>
    <t>META-FEED-002</t>
  </si>
  <si>
    <t>[비즈니스 자산 설정하기] 클릭</t>
  </si>
  <si>
    <t>1. [비즈니스 자산 설정하기] 클릭</t>
  </si>
  <si>
    <t>연결 관리 탭으로 전환되고 즉시 개인정보 동의 팝업(FBE 시작)이 노출된다.</t>
  </si>
  <si>
    <t>화면 3-4 #2</t>
  </si>
  <si>
    <t>META-FEED-003</t>
  </si>
  <si>
    <t>등록 현황</t>
  </si>
  <si>
    <t>상품 피드 등록 현황 요약 바</t>
  </si>
  <si>
    <t>6개 상태별 상품 수 기준 요약 바와 범례가 노출된다.</t>
  </si>
  <si>
    <t>정책 5-2-1 / 화면 3-4-1 #2</t>
  </si>
  <si>
    <t>META-FEED-004</t>
  </si>
  <si>
    <t>Meta Catalog 바로가기</t>
  </si>
  <si>
    <t>1. [Meta Catalog 바로가기] 클릭</t>
  </si>
  <si>
    <t>새 탭으로 https://business.facebook.com/commerce/catalogs/{catalog_id}/products?business_id={business_id} 가 열린다.</t>
  </si>
  <si>
    <t>화면 3-4-1 #2-1</t>
  </si>
  <si>
    <t>META-FEED-005</t>
  </si>
  <si>
    <t>상태 탭</t>
  </si>
  <si>
    <t>상태 필터 탭 및 건수</t>
  </si>
  <si>
    <t xml:space="preserve">1. 상태 탭 확인
2. 각 탭 클릭</t>
  </si>
  <si>
    <t>전체/활동중/검토중/미승인/노출제한/사용안함/미전송 탭과 건수가 노출되고, 탭 클릭 시 해당 상태 상품만 노출된다. 최초 진입 시 '전체' 탭이 선택된다.</t>
  </si>
  <si>
    <t>정책 5-2-2 / 화면 3-4-1 #3-1</t>
  </si>
  <si>
    <t>META-FEED-006</t>
  </si>
  <si>
    <t>상태 건수 0인 탭</t>
  </si>
  <si>
    <t>특정 상태(예: 검토중) 상품 0건</t>
  </si>
  <si>
    <t>1. 해당 탭 클릭</t>
  </si>
  <si>
    <t>탭 건수 0으로 표시되고 목록에 '표시할 상품이 없습니다.'가 노출된다.</t>
  </si>
  <si>
    <t>화면 3-4-1 Empty</t>
  </si>
  <si>
    <t>META-FEED-007</t>
  </si>
  <si>
    <t>목록 컬럼</t>
  </si>
  <si>
    <t>전체 탭 컬럼 구성</t>
  </si>
  <si>
    <t>1. 전체 탭 컬럼 확인</t>
  </si>
  <si>
    <t>체크박스/상품정보/승인상태/연동 상품 수/가격/페이스북 카테고리/관리(상세) 컬럼이 노출된다.</t>
  </si>
  <si>
    <t>정책 5-2-3 / 화면 3-4-1</t>
  </si>
  <si>
    <t>META-FEED-008</t>
  </si>
  <si>
    <t>미승인·노출제한 탭 사유 컬럼</t>
  </si>
  <si>
    <t>1. 미승인 탭, 노출제한 탭 각각 확인</t>
  </si>
  <si>
    <t>승인상태/페이스북 카테고리 대신 '사유' 컬럼이 노출되고, 상품별 발생 사유가 표시된다.</t>
  </si>
  <si>
    <t>정책 5-2-3 / 화면 3-4-1 #3-7</t>
  </si>
  <si>
    <t>META-FEED-009</t>
  </si>
  <si>
    <t>사용안함 탭 컬럼 구성</t>
  </si>
  <si>
    <t>1. 사용안함 탭 확인</t>
  </si>
  <si>
    <t>페이스북 카테고리·사유 컬럼 없이 상품정보/연동 상품 수/가격/관리가 노출된다.</t>
  </si>
  <si>
    <t>화면 3-4-1</t>
  </si>
  <si>
    <t>META-FEED-010</t>
  </si>
  <si>
    <t>상품정보 표시</t>
  </si>
  <si>
    <t>1. 상품정보 컬럼 확인</t>
  </si>
  <si>
    <t>상품 이미지, 상품명, 상품 분류 경로가 표시되고 분류 미지정 상품은 '분류 미지정'으로 표시된다.</t>
  </si>
  <si>
    <t>정책 5-2-3</t>
  </si>
  <si>
    <t>META-FEED-011</t>
  </si>
  <si>
    <t>페이스북 카테고리 표시</t>
  </si>
  <si>
    <t>1. 페이스북 카테고리 컬럼 확인</t>
  </si>
  <si>
    <t>매칭된 GPC 전체 경로가 표시되고 미매칭 시 '미설정'으로 표시된다.</t>
  </si>
  <si>
    <t>META-FEED-012</t>
  </si>
  <si>
    <t>가격 표시</t>
  </si>
  <si>
    <t>1. 가격 컬럼 확인</t>
  </si>
  <si>
    <t>쇼핑몰 판매가가 통화기호 없이 천 단위 콤마로 표시된다.</t>
  </si>
  <si>
    <t>META-FEED-013</t>
  </si>
  <si>
    <t>연동 상품 수</t>
  </si>
  <si>
    <t>옵션 상품 연동 상품 수</t>
  </si>
  <si>
    <t>옵션 조합 6개 상품이 활동중</t>
  </si>
  <si>
    <t>1. 연동 상품 수 확인</t>
  </si>
  <si>
    <t>Meta Catalog에 등록된 옵션(Variant) item 수인 6이 표시된다.</t>
  </si>
  <si>
    <t>정책 5-2-3 / 화면 3-4-1 #3-5</t>
  </si>
  <si>
    <t>META-FEED-014</t>
  </si>
  <si>
    <t>옵션 없는 상품 연동 상품 수</t>
  </si>
  <si>
    <t>옵션 없는 상품이 활동중</t>
  </si>
  <si>
    <t>1로 표시된다.</t>
  </si>
  <si>
    <t>화면 3-4-1 #3-5</t>
  </si>
  <si>
    <t>META-FEED-015</t>
  </si>
  <si>
    <t>미전송/제외 상품 연동 상품 수</t>
  </si>
  <si>
    <t>미전송·사용안함·노출제한 상품 존재</t>
  </si>
  <si>
    <t>1. 해당 상품 연동 상품 수 확인</t>
  </si>
  <si>
    <t>0으로 표시된다.</t>
  </si>
  <si>
    <t>META-FEED-016</t>
  </si>
  <si>
    <t>일부 옵션만 전송된 상품</t>
  </si>
  <si>
    <t>옵션 10개 중 2개가 판매불가로 미전송</t>
  </si>
  <si>
    <t>실제 Meta Catalog에 등록된 8로 표시된다.</t>
  </si>
  <si>
    <t>META-FEED-017</t>
  </si>
  <si>
    <t>검색</t>
  </si>
  <si>
    <t>상품명 부분 일치 검색</t>
  </si>
  <si>
    <t xml:space="preserve">1. 검색어 입력(상품명 일부)
2. Enter 또는 돋보기 클릭</t>
  </si>
  <si>
    <t>현재 선택된 상태 탭 내에서 상품명에 검색어가 포함된 상품만 노출된다.</t>
  </si>
  <si>
    <t>화면 3-4-1 #3-2</t>
  </si>
  <si>
    <t>META-FEED-018</t>
  </si>
  <si>
    <t>검색 결과 없음</t>
  </si>
  <si>
    <t>1. 존재하지 않는 상품명 검색</t>
  </si>
  <si>
    <t>목록 영역에 '표시할 상품이 없습니다.' Empty 상태가 노출된다.</t>
  </si>
  <si>
    <t>META-FEED-019</t>
  </si>
  <si>
    <t>검색 중 상태 탭 변경</t>
  </si>
  <si>
    <t>FBE 연동 완료 + 카테고리 매칭 저장 완료, 상태별 상품 1건 이상 존재, 검색어 입력 상태</t>
  </si>
  <si>
    <t>1. 다른 상태 탭 클릭</t>
  </si>
  <si>
    <t>입력된 검색어를 유지한 채 변경된 탭 내에서 다시 검색 결과를 조회하며 1페이지로 초기화된다.</t>
  </si>
  <si>
    <t>META-FEED-020</t>
  </si>
  <si>
    <t>검색어 초기화</t>
  </si>
  <si>
    <t>FBE 연동 완료 + 카테고리 매칭 저장 완료, 상태별 상품 1건 이상 존재, 검색 결과 노출 상태</t>
  </si>
  <si>
    <t>1. 검색어 삭제 후 검색</t>
  </si>
  <si>
    <t>현재 상태 탭의 전체 상품 목록으로 복귀한다.</t>
  </si>
  <si>
    <t>META-FEED-021</t>
  </si>
  <si>
    <t>검색 시 탭 건수 갱신</t>
  </si>
  <si>
    <t>1. 검색어로 검색</t>
  </si>
  <si>
    <t>각 상태 탭 건수가 검색 조건이 적용된 결과 기준으로 갱신된다.</t>
  </si>
  <si>
    <t>정책 5-2-2</t>
  </si>
  <si>
    <t>META-FEED-022</t>
  </si>
  <si>
    <t>페이지당 개수</t>
  </si>
  <si>
    <t>페이지당 노출 개수 변경</t>
  </si>
  <si>
    <t>상품 120건 이상</t>
  </si>
  <si>
    <t>1. 20/30/50/70/100개씩 보기 각각 선택</t>
  </si>
  <si>
    <t>기본값 20개, 선택한 개수만큼 노출되며 변경 시 첫 페이지부터 다시 조회된다.</t>
  </si>
  <si>
    <t>화면 3-4-1 #3-3</t>
  </si>
  <si>
    <t>META-FEED-023</t>
  </si>
  <si>
    <t>페이지네이션</t>
  </si>
  <si>
    <t>페이지 이동</t>
  </si>
  <si>
    <t>상품 41건 이상(20개씩 보기)</t>
  </si>
  <si>
    <t xml:space="preserve">1. 2페이지 클릭
2. 처음/이전/다음/마지막 버튼 클릭</t>
  </si>
  <si>
    <t>해당 페이지 목록으로 이동하며 처음/마지막 페이지에서는 이전/다음 버튼이 비활성화된다.</t>
  </si>
  <si>
    <t>META-FEED-024</t>
  </si>
  <si>
    <t>체크박스</t>
  </si>
  <si>
    <t>전체 선택은 현재 페이지 기준</t>
  </si>
  <si>
    <t>상품 2페이지 이상</t>
  </si>
  <si>
    <t xml:space="preserve">1. 헤더 체크박스 클릭
2. 다음 페이지 이동</t>
  </si>
  <si>
    <t>현재 페이지 상품만 선택되며 다른 페이지 상품은 선택되지 않는다.</t>
  </si>
  <si>
    <t>정책 5-3-1</t>
  </si>
  <si>
    <t>META-FEED-025</t>
  </si>
  <si>
    <t>상태 판정</t>
  </si>
  <si>
    <t>상태 판정 우선순위 - 사용안함 우선</t>
  </si>
  <si>
    <t>카테고리 미매칭 + 판매가 0원 상품</t>
  </si>
  <si>
    <t>1. 상품 상태 확인</t>
  </si>
  <si>
    <t>카테고리 미매칭과 노출제한 조건이 동시에 해당하면 '사용안함'이 우선 적용된다.</t>
  </si>
  <si>
    <t>정책 5-2-5</t>
  </si>
  <si>
    <t>META-FEED-026</t>
  </si>
  <si>
    <t>상태 판정 - 매칭 + 노출제한</t>
  </si>
  <si>
    <t>카테고리 매칭 + 품절 상품</t>
  </si>
  <si>
    <t>'노출제한' 상태, 사유 '품절 상품입니다.'가 표시된다.</t>
  </si>
  <si>
    <t>정책 5-2, 5-2-5</t>
  </si>
  <si>
    <t>META-FEED-027</t>
  </si>
  <si>
    <t>상태 판정 - 매칭 + 조건 통과</t>
  </si>
  <si>
    <t>카테고리 매칭 + 노출제한 조건 미해당 상품, 미전송</t>
  </si>
  <si>
    <t>'미전송' 상태로 표시된다.</t>
  </si>
  <si>
    <t>META-FEED-028</t>
  </si>
  <si>
    <t>Meta 상태 상품의 정보 변경 미반영</t>
  </si>
  <si>
    <t>활동중 상품의 상품명 변경 후 Meta 미반영</t>
  </si>
  <si>
    <t>1. 상품 피드에서 상태 확인</t>
  </si>
  <si>
    <t>변경 사항이 Meta에 반영되기 전까지 '미전송'으로 표시된다.</t>
  </si>
  <si>
    <t>정책 5-2-4</t>
  </si>
  <si>
    <t>META-FEED-029</t>
  </si>
  <si>
    <t>노출제한 사유</t>
  </si>
  <si>
    <t>노출제한 사유 - 노출상태 '노출 안함'</t>
  </si>
  <si>
    <t>카테고리 매칭 완료 상품이 '노출상태 '노출 안함'' 조건에 해당</t>
  </si>
  <si>
    <t>1. 노출제한 탭에서 해당 상품 사유 확인</t>
  </si>
  <si>
    <t>상태 '노출제한', 사유 '노출하지 않은 상품입니다. 상품을 노출함 상태로 변경해 주세요.'가 표시되고 Meta 전송 대상에서 제외된다.</t>
  </si>
  <si>
    <t>정책 5-2-4 노출 제한 사유</t>
  </si>
  <si>
    <t>META-FEED-030</t>
  </si>
  <si>
    <t>노출제한 사유 - 판매상태 '판매불가능'</t>
  </si>
  <si>
    <t>카테고리 매칭 완료 상품이 '판매상태 '판매불가능'' 조건에 해당</t>
  </si>
  <si>
    <t>상태 '노출제한', 사유 '판매하지 않는 상품입니다. 상품을 판매함 상태로 변경해 주세요.'가 표시되고 Meta 전송 대상에서 제외된다.</t>
  </si>
  <si>
    <t>META-FEED-031</t>
  </si>
  <si>
    <t>노출제한 사유 - 품절 상품</t>
  </si>
  <si>
    <t>카테고리 매칭 완료 상품이 '품절 상품' 조건에 해당</t>
  </si>
  <si>
    <t>상태 '노출제한', 사유 '품절 상품입니다.'가 표시되고 Meta 전송 대상에서 제외된다.</t>
  </si>
  <si>
    <t>META-FEED-032</t>
  </si>
  <si>
    <t>노출제한 사유 - 판매가 0원</t>
  </si>
  <si>
    <t>카테고리 매칭 완료 상품이 '판매가 0원' 조건에 해당</t>
  </si>
  <si>
    <t>상태 '노출제한', 사유 '판매가가 0원입니다. 정상 판매가를 입력해 주세요.'가 표시되고 Meta 전송 대상에서 제외된다.</t>
  </si>
  <si>
    <t>META-FEED-033</t>
  </si>
  <si>
    <t>노출제한 사유 - 판매가 대체문구 사용</t>
  </si>
  <si>
    <t>카테고리 매칭 완료 상품이 '판매가 대체문구 사용' 조건에 해당</t>
  </si>
  <si>
    <t>상태 '노출제한', 사유 '판매가에 대체문구가 설정되어 있습니다. 숫자 판매가로 변경해 주세요.'가 표시되고 Meta 전송 대상에서 제외된다.</t>
  </si>
  <si>
    <t>META-FEED-034</t>
  </si>
  <si>
    <t>노출제한 사유 - 기본 분류 미지정(상품 단위 GPC는 설정)</t>
  </si>
  <si>
    <t>카테고리 매칭 완료 상품이 '기본 분류 미지정(상품 단위 GPC는 설정)' 조건에 해당</t>
  </si>
  <si>
    <t>상태 '노출제한', 사유 '상품 분류가 지정되지 않았습니다. 기본 분류를 설정해 주세요.'가 표시되고 Meta 전송 대상에서 제외된다.</t>
  </si>
  <si>
    <t>META-FEED-035</t>
  </si>
  <si>
    <t>노출제한 사유 - 상품명에 '개인결' 포함</t>
  </si>
  <si>
    <t>카테고리 매칭 완료 상품이 '상품명에 '개인결' 포함' 조건에 해당</t>
  </si>
  <si>
    <t>상태 '노출제한', 사유 '개인결제 상품은 피드에 연동되지 않습니다.'가 표시되고 Meta 전송 대상에서 제외된다.</t>
  </si>
  <si>
    <t>META-FEED-036</t>
  </si>
  <si>
    <t>노출제한 사유 - 상품 이미지 없음</t>
  </si>
  <si>
    <t>카테고리 매칭 완료 상품이 '상품 이미지 없음' 조건에 해당</t>
  </si>
  <si>
    <t>상태 '노출제한', 사유 '상품 이미지가 없습니다. 이미지를 등록해주세요.'가 표시되고 Meta 전송 대상에서 제외된다.</t>
  </si>
  <si>
    <t>META-FEED-037</t>
  </si>
  <si>
    <t>노출제한 사유 - 상품 상세설명 없음</t>
  </si>
  <si>
    <t>카테고리 매칭 완료 상품이 '상품 상세설명 없음' 조건에 해당</t>
  </si>
  <si>
    <t>상태 '노출제한', 사유 '상품 상세설명이 없습니다. 상세설명을 입력해 주세요.'가 표시되고 Meta 전송 대상에서 제외된다.</t>
  </si>
  <si>
    <t>META-FEED-038</t>
  </si>
  <si>
    <t>노출제한 사유 - 특정 회원(도매회원 포함)만 접근 가능</t>
  </si>
  <si>
    <t>카테고리 매칭 완료 상품이 '특정 회원(도매회원 포함)만 접근 가능' 조건에 해당</t>
  </si>
  <si>
    <t>상태 '노출제한', 사유 '특정 회원 등급만 접근할 수 있는 상품입니다. 전체 공개 상품만 피드에 연동됩니다.'가 표시되고 Meta 전송 대상에서 제외된다.</t>
  </si>
  <si>
    <t>META-FEED-039</t>
  </si>
  <si>
    <t>노출제한 사유 - 로그인 후 가격 노출</t>
  </si>
  <si>
    <t>카테고리 매칭 완료 상품이 '로그인 후 가격 노출' 조건에 해당</t>
  </si>
  <si>
    <t>상태 '노출제한', 사유 '로그인 후에만 가격이 노출되는 상품입니다. 비로그인 상태에서도 가격이 노출되도록 설정해 주세요.'가 표시되고 Meta 전송 대상에서 제외된다.</t>
  </si>
  <si>
    <t>META-FEED-040</t>
  </si>
  <si>
    <t>노출제한 사유 - 옵션 에디션 300개 초과</t>
  </si>
  <si>
    <t>카테고리 매칭 완료 상품이 '옵션 에디션 300개 초과' 조건에 해당</t>
  </si>
  <si>
    <t>상태 '노출제한', 사유 '전송 가능한 옵션 에디션 수를 초과한 상품입니다. 옵션 조합 수를 300개 이하로 조정해 주세요.'가 표시되고 Meta 전송 대상에서 제외된다.</t>
  </si>
  <si>
    <t>META-FEED-041</t>
  </si>
  <si>
    <t>미승인 사유</t>
  </si>
  <si>
    <t>미승인 사유 - COMMERCE_POLICY_VIOLATION</t>
  </si>
  <si>
    <t>Meta 처리 결과 미승인(사유 코드 COMMERCE_POLICY_VIOLATION) 상품 존재</t>
  </si>
  <si>
    <t>1. 미승인 탭에서 해당 상품 사유 확인</t>
  </si>
  <si>
    <t>상태 '미승인', 사유 'Meta 커머스 정책에 위반되어 거부되었습니다. Meta 커머스 정책을 확인해 주세요.'가 표시된다.</t>
  </si>
  <si>
    <t>정책 5-2-4 미승인 사유</t>
  </si>
  <si>
    <t>META-FEED-042</t>
  </si>
  <si>
    <t>미승인 사유 - INVALID_PRODUCT_CATEGORY</t>
  </si>
  <si>
    <t>Meta 처리 결과 미승인(사유 코드 INVALID_PRODUCT_CATEGORY) 상품 존재</t>
  </si>
  <si>
    <t>상태 '미승인', 사유 '상품 카테고리가 올바르지 않습니다. 페이스북 카테고리를 다시 매칭해 주세요.'가 표시된다.</t>
  </si>
  <si>
    <t>META-FEED-043</t>
  </si>
  <si>
    <t>미승인 사유 - MISSING_PRICE</t>
  </si>
  <si>
    <t>Meta 처리 결과 미승인(사유 코드 MISSING_PRICE) 상품 존재</t>
  </si>
  <si>
    <t>상태 '미승인', 사유 '가격 정보가 누락되었습니다. 판매가를 확인해 주세요.'가 표시된다.</t>
  </si>
  <si>
    <t>META-FEED-044</t>
  </si>
  <si>
    <t>미승인 사유 - MISSING_BRAND</t>
  </si>
  <si>
    <t>Meta 처리 결과 미승인(사유 코드 MISSING_BRAND) 상품 존재</t>
  </si>
  <si>
    <t>상태 '미승인', 사유 '브랜드 정보가 누락되었습니다. 브랜드 값을 등록해 주세요.'가 표시된다.</t>
  </si>
  <si>
    <t>META-FEED-045</t>
  </si>
  <si>
    <t>미승인 사유 - IMAGE_NOT_ACCESSIBLE</t>
  </si>
  <si>
    <t>Meta 처리 결과 미승인(사유 코드 IMAGE_NOT_ACCESSIBLE) 상품 존재</t>
  </si>
  <si>
    <t>상태 '미승인', 사유 '상품 이미지에 접근할 수 없습니다. 이미지 경로를 확인해 주세요.'가 표시된다.</t>
  </si>
  <si>
    <t>META-FEED-046</t>
  </si>
  <si>
    <t>미승인 사유 - INVALID_IMAGE</t>
  </si>
  <si>
    <t>Meta 처리 결과 미승인(사유 코드 INVALID_IMAGE) 상품 존재</t>
  </si>
  <si>
    <t>상태 '미승인', 사유 '이미지 형식이 올바르지 않습니다. 이미지를 다시 등록해 주세요.'가 표시된다.</t>
  </si>
  <si>
    <t>META-FEED-047</t>
  </si>
  <si>
    <t>미승인 사유 - OUT_OF_STOCK</t>
  </si>
  <si>
    <t>Meta 처리 결과 미승인(사유 코드 OUT_OF_STOCK) 상품 존재</t>
  </si>
  <si>
    <t>상태 '미승인', 사유 '품절 상태로 Meta에서 노출이 제한되었습니다. 재고를 확인해 주세요.'가 표시된다.</t>
  </si>
  <si>
    <t>META-FEED-048</t>
  </si>
  <si>
    <t>미승인 사유 - RESTRICTED_PRODUCT</t>
  </si>
  <si>
    <t>Meta 처리 결과 미승인(사유 코드 RESTRICTED_PRODUCT) 상품 존재</t>
  </si>
  <si>
    <t>상태 '미승인', 사유 'Meta에서 판매가 제한된 상품입니다. Meta 제한 상품 정책을 확인해 주세요.'가 표시된다.</t>
  </si>
  <si>
    <t>META-FEED-049</t>
  </si>
  <si>
    <t>미승인 사유 - DUPLICATE_ITEM</t>
  </si>
  <si>
    <t>Meta 처리 결과 미승인(사유 코드 DUPLICATE_ITEM) 상품 존재</t>
  </si>
  <si>
    <t>상태 '미승인', 사유 '중복 상품으로 판단되었습니다. 동일 상품 여부를 확인해 주세요.'가 표시된다.</t>
  </si>
  <si>
    <t>META-FEED-050</t>
  </si>
  <si>
    <t>미승인 사유 - MISSING_DESCRIPTION</t>
  </si>
  <si>
    <t>Meta 처리 결과 미승인(사유 코드 MISSING_DESCRIPTION) 상품 존재</t>
  </si>
  <si>
    <t>상태 '미승인', 사유 '상품 설명이 누락되었습니다. 상세설명을 입력해 주세요.'가 표시된다.</t>
  </si>
  <si>
    <t>META-FEED-051</t>
  </si>
  <si>
    <t>툴팁</t>
  </si>
  <si>
    <t>승인상태·사유 툴팁</t>
  </si>
  <si>
    <t xml:space="preserve">1. 승인상태 (?) 클릭
2. 사유 (?) 클릭
3. 레이어 외 영역 클릭</t>
  </si>
  <si>
    <t>각 설명 레이어가 노출되고 X 또는 외부 클릭 시 닫힌다.</t>
  </si>
  <si>
    <t>화면 3-4-1, 3-4-2</t>
  </si>
  <si>
    <t>META-FEED-052</t>
  </si>
  <si>
    <t>미전송 전송</t>
  </si>
  <si>
    <t>미전송 상품 선택 전송</t>
  </si>
  <si>
    <t>FBE 연동 완료 + 카테고리 매칭 저장 완료, 상태별 상품 1건 이상 존재, 미전송 상품 존재</t>
  </si>
  <si>
    <t xml:space="preserve">1. 미전송 탭 이동
2. 상품 체크
3. 전송 실행</t>
  </si>
  <si>
    <t>선택 상품의 최신 정보가 Meta로 전송되고 전송 접수된 상품은 '검토중'으로 변경된다.</t>
  </si>
  <si>
    <t>정책 5-3-1, 5-4-2</t>
  </si>
  <si>
    <t>META-FEED-053</t>
  </si>
  <si>
    <t>선택 없이 전송</t>
  </si>
  <si>
    <t>미전송 탭</t>
  </si>
  <si>
    <t>1. 상품 미선택 상태로 전송 실행</t>
  </si>
  <si>
    <t>Alert '선택된 상품이 없습니다.'가 노출되고 전송되지 않는다.</t>
  </si>
  <si>
    <t>정책 9-2</t>
  </si>
  <si>
    <t>META-FEED-054</t>
  </si>
  <si>
    <t>1회 최대 100개 전송</t>
  </si>
  <si>
    <t>미전송 상품 100건 이상, 100개씩 보기</t>
  </si>
  <si>
    <t>1. 현재 페이지 100건 전체 선택 후 전송</t>
  </si>
  <si>
    <t>100건이 전송된다. 101건 이상은 한 번에 선택·전송할 수 없다.</t>
  </si>
  <si>
    <t>META-FEED-055</t>
  </si>
  <si>
    <t>다른 페이지 포함 전체 선택 미지원</t>
  </si>
  <si>
    <t>미전송 상품 2페이지 이상</t>
  </si>
  <si>
    <t xml:space="preserve">1. 1페이지 전체 선택
2. 2페이지 이동 후 전송 대상 확인</t>
  </si>
  <si>
    <t>다른 페이지 상품까지 포함하는 전체 선택 및 전체 미전송 일괄 전송 기능이 제공되지 않는다.</t>
  </si>
  <si>
    <t>META-FEED-056</t>
  </si>
  <si>
    <t>전송 시점 재검증 - 노출제한 조건 발생</t>
  </si>
  <si>
    <t>미전송 상품을 선택한 뒤 다른 창에서 해당 상품 판매가 0원으로 수정</t>
  </si>
  <si>
    <t>1. 해당 상품 전송 실행</t>
  </si>
  <si>
    <t>저장 당시 상태를 사용하지 않고 최신 정보로 재판정하여 '노출제한'으로 변경되며 전송되지 않는다.</t>
  </si>
  <si>
    <t>정책 5-3-2</t>
  </si>
  <si>
    <t>META-FEED-057</t>
  </si>
  <si>
    <t>전송 시점 재검증 - 사용안함 상품</t>
  </si>
  <si>
    <t>미전송 상품이 전송 전 사용안함으로 변경됨</t>
  </si>
  <si>
    <t>1. 전송 실행</t>
  </si>
  <si>
    <t>'사용안함' 그대로 유지되며 전송되지 않는다.</t>
  </si>
  <si>
    <t>META-FEED-058</t>
  </si>
  <si>
    <t>여러 번 수정된 미전송 상품 전송</t>
  </si>
  <si>
    <t>미전송 상태에서 상품을 3회 수정</t>
  </si>
  <si>
    <t xml:space="preserve">1. 전송 실행
2. 전송 로그 확인(개발 협조)</t>
  </si>
  <si>
    <t>각 변경 이력이 개별 전송되지 않고 전송 시점의 최신 정보 1건만 전송된다.</t>
  </si>
  <si>
    <t>META-FEED-059</t>
  </si>
  <si>
    <t>Meta 결과 반영</t>
  </si>
  <si>
    <t>검토중 → 활동중/미승인 갱신</t>
  </si>
  <si>
    <t>전송 후 검토중 상품 존재</t>
  </si>
  <si>
    <t>1. Meta 처리 완료 후 상품 피드 재조회</t>
  </si>
  <si>
    <t>Meta 처리 결과 조회를 통해 활동중 또는 미승인 상태로 최종 갱신되고 연동 상품 수가 반영된다.</t>
  </si>
  <si>
    <t>정책 5-2-5, 5-4</t>
  </si>
  <si>
    <t>META-FEED-060</t>
  </si>
  <si>
    <t>이벤트 전송</t>
  </si>
  <si>
    <t>개별 상품 수정 시 자동 전송</t>
  </si>
  <si>
    <t>연동 완료, 매칭 완료 활동중 상품</t>
  </si>
  <si>
    <t xml:space="preserve">1. 상품 관리에서 판매가 수정 후 저장
2. 상품 피드 확인</t>
  </si>
  <si>
    <t>전송 가능 조건 충족 시 별도 미전송 탭 전송 없이 최신 정보가 Meta로 전송되고 '검토중'으로 변경된다.</t>
  </si>
  <si>
    <t>정책 1-8, 5-4-1</t>
  </si>
  <si>
    <t>META-FEED-061</t>
  </si>
  <si>
    <t>미전송 상품 개별 수정 시 자동 전송</t>
  </si>
  <si>
    <t>미전송 상태 상품</t>
  </si>
  <si>
    <t>1. 상품 관리에서 해당 상품 수정 후 저장</t>
  </si>
  <si>
    <t>미전송 탭 전송을 기다리지 않고 수정 시점 최신 정보로 Meta에 전송된다.</t>
  </si>
  <si>
    <t>정책 5-3, 5-4-1, 5-4-3 b</t>
  </si>
  <si>
    <t>META-FEED-062</t>
  </si>
  <si>
    <t>개별 수정 후 노출제한 조건 해당</t>
  </si>
  <si>
    <t>활동중 상품</t>
  </si>
  <si>
    <t>1. 상품을 품절 처리</t>
  </si>
  <si>
    <t>'노출제한'으로 변경되고 Meta 신규/수정 전송이 중단된다.</t>
  </si>
  <si>
    <t>정책 5-4-1</t>
  </si>
  <si>
    <t>META-FEED-063</t>
  </si>
  <si>
    <t>신규 상품 등록 - 매칭된 카테고리</t>
  </si>
  <si>
    <t>연동 완료, 카테고리 매칭 완료</t>
  </si>
  <si>
    <t>1. 매칭된 카테고리로 신규 상품 등록</t>
  </si>
  <si>
    <t>전송 조건 충족 시 Meta로 전송된다.</t>
  </si>
  <si>
    <t>META-FEED-064</t>
  </si>
  <si>
    <t>신규 상품 등록 - 미매칭 카테고리</t>
  </si>
  <si>
    <t>연동 완료</t>
  </si>
  <si>
    <t>1. 미매칭 카테고리로 신규 상품 등록</t>
  </si>
  <si>
    <t>전송되지 않고 '사용안함'으로 처리된다.</t>
  </si>
  <si>
    <t>정책 1-8</t>
  </si>
  <si>
    <t>META-FEED-065</t>
  </si>
  <si>
    <t>메이크샵 상품 삭제 시 Meta item 삭제</t>
  </si>
  <si>
    <t xml:space="preserve">1. 상품 관리에서 상품 삭제
2. Meta 카탈로그 확인(개발 협조)</t>
  </si>
  <si>
    <t>해당 상품번호(retailer_id)의 item만 DELETE 되고, 메이크샵이 전송하지 않은 직접 등록 item은 삭제되지 않는다.</t>
  </si>
  <si>
    <t>정책 11-3, 11-6</t>
  </si>
  <si>
    <t>META-FEED-066</t>
  </si>
  <si>
    <t>옵션 추가/삭제/수정 반영</t>
  </si>
  <si>
    <t>옵션 상품 활동중</t>
  </si>
  <si>
    <t>1. 옵션 1개 추가, 1개 삭제, 1개 가격 수정</t>
  </si>
  <si>
    <t>Meta Variant가 각각 CREATE/DELETE/UPDATE 요청으로 반영된다.</t>
  </si>
  <si>
    <t>정책 5-2-8</t>
  </si>
  <si>
    <t>META-FEED-067</t>
  </si>
  <si>
    <t>에디션 제한</t>
  </si>
  <si>
    <t>옵션 조합 300개 상품</t>
  </si>
  <si>
    <t>옵션 조합 정확히 300개 상품, 매칭 완료</t>
  </si>
  <si>
    <t>노출제한이 아닌 전송 가능(미전송/전송) 대상으로 처리된다.</t>
  </si>
  <si>
    <t>정책 5-2-7</t>
  </si>
  <si>
    <t>META-FEED-068</t>
  </si>
  <si>
    <t>옵션 조합 301개 상품</t>
  </si>
  <si>
    <t>옵션 조합 301개 상품, 매칭 완료</t>
  </si>
  <si>
    <t>Meta 전송 대상에서 제외되고 '노출제한'(에디션 초과 사유)으로 표시된다.</t>
  </si>
  <si>
    <t>META-FEED-069</t>
  </si>
  <si>
    <t>기존 활동중 상품이 300개 초과로 변경</t>
  </si>
  <si>
    <t>옵션 290개 활동중 상품</t>
  </si>
  <si>
    <t>1. 옵션을 추가해 301개로 변경</t>
  </si>
  <si>
    <t>이후 신규/수정 전송 대상에서 제외되고 '노출제한'으로 변경된다.</t>
  </si>
  <si>
    <t>META-FEED-070</t>
  </si>
  <si>
    <t>300개 초과 → 300개 이하로 조정</t>
  </si>
  <si>
    <t>에디션 초과 노출제한 상품</t>
  </si>
  <si>
    <t>1. 옵션 조합을 300개 이하로 조정</t>
  </si>
  <si>
    <t>상태가 재판정되어 다른 조건 충족 시 '미전송'으로 변경되고, 미전송 탭 전송 또는 개별 수정으로 재전송된다.</t>
  </si>
  <si>
    <t>META-FEED-071</t>
  </si>
  <si>
    <t>직접 등록 상품</t>
  </si>
  <si>
    <t>Meta에서 직접 등록한 상품 미노출</t>
  </si>
  <si>
    <t>Meta Commerce Manager에서 수동 등록한 item 존재</t>
  </si>
  <si>
    <t>1. 상품 피드 목록·집계 확인</t>
  </si>
  <si>
    <t>메이크샵 상품번호와 매칭되지 않는 직접 등록 상품은 목록·집계·상태에 반영되지 않는다.</t>
  </si>
  <si>
    <t>정책 11-1, 11-3, 11-6</t>
  </si>
  <si>
    <t>META-FEED-072</t>
  </si>
  <si>
    <t>retailer_id 충돌 상품</t>
  </si>
  <si>
    <t>Meta 직접 등록 시 retailer_id를 메이크샵 상품번호와 동일하게 입력</t>
  </si>
  <si>
    <t>1. 메이크샵에서 해당 상품 전송</t>
  </si>
  <si>
    <t>메이크샵 값으로 Meta item이 덮어써진다(같은 id = 같은 상품).</t>
  </si>
  <si>
    <t>정책 11-5</t>
  </si>
  <si>
    <t>META-PCAT-001</t>
  </si>
  <si>
    <t>진입</t>
  </si>
  <si>
    <t>[상세] 클릭 시 1건 노출</t>
  </si>
  <si>
    <t>1. 상품 행의 [상세] 클릭</t>
  </si>
  <si>
    <t>선택 상품 카테고리 매칭 팝업에 해당 상품 1건만 노출된다.</t>
  </si>
  <si>
    <t>정책 6-1 / 화면 3-4-2 #1</t>
  </si>
  <si>
    <t>META-PCAT-002</t>
  </si>
  <si>
    <t>[선택 수정] 클릭 시 선택 상품 전체 노출</t>
  </si>
  <si>
    <t xml:space="preserve">1. 상품 3건 체크
2. [선택 수정] 클릭</t>
  </si>
  <si>
    <t>체크한 3건이 모두 노출된다.</t>
  </si>
  <si>
    <t>정책 6-1 / 화면 3-4-1 #3-8</t>
  </si>
  <si>
    <t>META-PCAT-003</t>
  </si>
  <si>
    <t>선택 없이 [선택 수정]</t>
  </si>
  <si>
    <t>1. 체크 없이 [선택 수정] 클릭</t>
  </si>
  <si>
    <t>Alert '선택된 상품이 없습니다.'가 노출된다.</t>
  </si>
  <si>
    <t>정책 9-2 / 화면 3-4-1 #3-8</t>
  </si>
  <si>
    <t>META-PCAT-004</t>
  </si>
  <si>
    <t>상태와 무관하게 선택 수정 가능</t>
  </si>
  <si>
    <t>1. 활동중/검토중/미승인/노출제한/사용안함 상품을 각각 선택 후 [선택 수정]</t>
  </si>
  <si>
    <t>상태와 관계없이 모두 수정 팝업에 노출되어 수정할 수 있다.</t>
  </si>
  <si>
    <t>화면 3-4-1 #3-8</t>
  </si>
  <si>
    <t>META-PCAT-005</t>
  </si>
  <si>
    <t>구성</t>
  </si>
  <si>
    <t>팝업 컬럼 구성</t>
  </si>
  <si>
    <t>선택 상품 카테고리 매칭 팝업 노출</t>
  </si>
  <si>
    <t>1. 컬럼 확인</t>
  </si>
  <si>
    <t>사용여부/승인상태/상품정보/연동 상품 수/쇼핑몰 카테고리/페이스북 카테고리/성별/연령대가 노출되며 승인상태·상품정보·연동 상품 수·쇼핑몰 카테고리는 조회 전용이다.</t>
  </si>
  <si>
    <t>정책 6-2 / 화면 3-4-2</t>
  </si>
  <si>
    <t>META-PCAT-006</t>
  </si>
  <si>
    <t>기본값</t>
  </si>
  <si>
    <t>기존 저장값 기본 노출</t>
  </si>
  <si>
    <t>상품별 GPC·성별·연령대·사용여부 저장 이력 있음</t>
  </si>
  <si>
    <t>1. [상세] 클릭</t>
  </si>
  <si>
    <t>저장된 값이 기본값으로 노출된다.</t>
  </si>
  <si>
    <t>화면 3-4-2 #1</t>
  </si>
  <si>
    <t>META-PCAT-007</t>
  </si>
  <si>
    <t>쇼핑몰 카테고리 미지정 상품</t>
  </si>
  <si>
    <t>기본 분류 미지정 상품</t>
  </si>
  <si>
    <t>쇼핑몰 카테고리에 '분류 미지정'이 표시된다.</t>
  </si>
  <si>
    <t>화면 3-4-2 #6</t>
  </si>
  <si>
    <t>META-PCAT-008</t>
  </si>
  <si>
    <t>사용여부</t>
  </si>
  <si>
    <t>사용여부 OFF 시 입력 항목 비활성</t>
  </si>
  <si>
    <t>팝업 노출</t>
  </si>
  <si>
    <t>1. 사용여부 OFF</t>
  </si>
  <si>
    <t>페이스북 카테고리/성별/연령대 입력 항목이 비활성화된다.</t>
  </si>
  <si>
    <t>화면 3-4-2 #2</t>
  </si>
  <si>
    <t>META-PCAT-009</t>
  </si>
  <si>
    <t>사용여부 OFF → ON 시 재활성</t>
  </si>
  <si>
    <t>사용여부 OFF 상태</t>
  </si>
  <si>
    <t>1. 사용여부 ON</t>
  </si>
  <si>
    <t>입력 항목이 다시 활성화된다.</t>
  </si>
  <si>
    <t>META-PCAT-010</t>
  </si>
  <si>
    <t>사용여부 OFF 저장 시 사용안함</t>
  </si>
  <si>
    <t>GPC 매칭된 활동중 상품</t>
  </si>
  <si>
    <t xml:space="preserve">1. 사용여부 OFF
2. [저장]</t>
  </si>
  <si>
    <t>GPC 매칭 여부와 관계없이 Meta 전송 대상에서 제외되고 목록에서 '사용안함'으로 표시된다.</t>
  </si>
  <si>
    <t>정책 6-5 / 화면 3-4-2 #2·#10</t>
  </si>
  <si>
    <t>META-PCAT-011</t>
  </si>
  <si>
    <t>성별/연령대</t>
  </si>
  <si>
    <t>의류 GPC 선택 시 성별/연령대 활성 + 기본값</t>
  </si>
  <si>
    <t>팝업 노출, 비의류 GPC 상품</t>
  </si>
  <si>
    <t>1. 페이스북 카테고리를 '의류 및 액세서리' 계열로 변경</t>
  </si>
  <si>
    <t>성별/연령대 드롭다운이 활성화되고 기본값 남녀공용/전연령이 자동 세팅된다.</t>
  </si>
  <si>
    <t>정책 6-4 / 화면 3-4-2 #8·#9</t>
  </si>
  <si>
    <t>META-PCAT-012</t>
  </si>
  <si>
    <t>비의류 GPC 선택 시 비활성</t>
  </si>
  <si>
    <t>1. 비의류 GPC(예: 컵 및 머그) 선택</t>
  </si>
  <si>
    <t>성별/연령대 드롭다운이 비활성화된다.</t>
  </si>
  <si>
    <t>정책 6-4 / 화면 3-4-2</t>
  </si>
  <si>
    <t>META-PCAT-013</t>
  </si>
  <si>
    <t>성별/연령대 옵션 값 확인</t>
  </si>
  <si>
    <t>의류 GPC 선택</t>
  </si>
  <si>
    <t xml:space="preserve">1. 성별 드롭다운 펼침
2. 연령대 드롭다운 펼침</t>
  </si>
  <si>
    <t>성별: 남녀공용/남성/여성, 연령대: 전연령/성인/청소년/어린이/유아/영아/신생아가 노출되고 전송 값은 unisex/male/female, all ages/adult/teen/kids/toddler/infant/newborn으로 매핑된다.</t>
  </si>
  <si>
    <t>정책 6-4-1, 6-4-2</t>
  </si>
  <si>
    <t>META-PCAT-014</t>
  </si>
  <si>
    <t>의류 GPC 미변경 저장 시 기본값 전송</t>
  </si>
  <si>
    <t>의류 GPC 상품, 성별/연령대 미변경</t>
  </si>
  <si>
    <t xml:space="preserve">1. [저장]
2. 전송 데이터 확인(개발 협조)</t>
  </si>
  <si>
    <t>gender=unisex, age_group=all ages가 전송된다.</t>
  </si>
  <si>
    <t>정책 6-4</t>
  </si>
  <si>
    <t>META-PCAT-015</t>
  </si>
  <si>
    <t>상품 피드 반영 저장 성공</t>
  </si>
  <si>
    <t>팝업 노출, 사용여부 ON + GPC 선택</t>
  </si>
  <si>
    <t>1. [저장] 클릭</t>
  </si>
  <si>
    <t>Alert '선택한 상품이 상품 피드에 반영되었습니다.' 노출 후 Meta Catalog로 즉시 전송되고 상품 상태가 '검토중'으로 갱신된다.</t>
  </si>
  <si>
    <t>정책 6-6, 9-2 / 화면 3-4-2 #10</t>
  </si>
  <si>
    <t>META-PCAT-016</t>
  </si>
  <si>
    <t>사용여부 ON + GPC 미선택 저장</t>
  </si>
  <si>
    <t>팝업 노출, GPC 미선택 상품 포함</t>
  </si>
  <si>
    <t>1. 사용여부 ON 상태로 [저장]</t>
  </si>
  <si>
    <t>Alert '상품 피드를 사용하려면 페이스북 카테고리를 선택해 주세요.' 노출, [확인] 시 현재 화면 유지, 저장되지 않는다.</t>
  </si>
  <si>
    <t>정책 6-6 / 화면 3-4-2 #10</t>
  </si>
  <si>
    <t>META-PCAT-017</t>
  </si>
  <si>
    <t>선택 수정 다건 저장</t>
  </si>
  <si>
    <t>선택 수정으로 5건 진입, 각각 다른 값 설정</t>
  </si>
  <si>
    <t>1. [저장]</t>
  </si>
  <si>
    <t>각 상품 행에 설정한 값 기준으로 일괄 반영된다.</t>
  </si>
  <si>
    <t>화면 3-4-2 #10</t>
  </si>
  <si>
    <t>META-PCAT-018</t>
  </si>
  <si>
    <t>노출제한 조건 상품 저장</t>
  </si>
  <si>
    <t>판매가 0원 상품, GPC 선택</t>
  </si>
  <si>
    <t>전송되지 않고 '노출제한' 상태로 유지된다.</t>
  </si>
  <si>
    <t>정책 5-2-6 상품 단위 매칭</t>
  </si>
  <si>
    <t>META-PCAT-019</t>
  </si>
  <si>
    <t>활동중 상품 재매칭</t>
  </si>
  <si>
    <t>1. GPC 변경 후 [저장]</t>
  </si>
  <si>
    <t>변경 정보가 Meta Catalog로 재전송된다(UPDATE).</t>
  </si>
  <si>
    <t>화면 3-4-1 #3-6</t>
  </si>
  <si>
    <t>META-PCAT-020</t>
  </si>
  <si>
    <t>취소</t>
  </si>
  <si>
    <t>[취소] 클릭</t>
  </si>
  <si>
    <t>팝업에서 값 변경</t>
  </si>
  <si>
    <t xml:space="preserve">1. [취소] 클릭
2. 다시 [상세] 진입</t>
  </si>
  <si>
    <t>변경 사항이 저장되지 않고 기존 값이 유지된다.</t>
  </si>
  <si>
    <t>화면 3-4-2</t>
  </si>
  <si>
    <t>META-PCAT-021</t>
  </si>
  <si>
    <t>판매불가능</t>
  </si>
  <si>
    <t>판매불가능 상품은 수정 대상 제외</t>
  </si>
  <si>
    <t>판매상태 '판매불가능' 상품</t>
  </si>
  <si>
    <t>1. [상세] 진입</t>
  </si>
  <si>
    <t>해당 상품은 상품 피드 수정 대상에서 제외(입력 불가)되며 판매 상태 변경 후 다음 업데이트 시 자동 반영된다.</t>
  </si>
  <si>
    <t>화면 3-3-2 #5 ※</t>
  </si>
  <si>
    <t>META-PCAT-022</t>
  </si>
  <si>
    <t>상품 단위 GPC가 카테고리 단위보다 우선</t>
  </si>
  <si>
    <t>카테고리 GPC A, 상품 단위로 GPC B 저장</t>
  </si>
  <si>
    <t>1. 전송 데이터 및 목록 페이스북 카테고리 확인</t>
  </si>
  <si>
    <t>GPC B가 표시·전송된다.</t>
  </si>
  <si>
    <t>정책 6-3 / 화면 3-4-2 #1·#7</t>
  </si>
  <si>
    <t>META-ADS-001</t>
  </si>
  <si>
    <t>미연동 광고 관리 Empty State</t>
  </si>
  <si>
    <t>1. 광고 관리 탭 진입</t>
  </si>
  <si>
    <t>'비즈니스 자산 연동 후 광고 데이터를 확인할 수 있습니다.' 안내와 [비즈니스 자산 설정하기] 버튼이 노출된다.</t>
  </si>
  <si>
    <t>정책 7-1 / 화면 3-5</t>
  </si>
  <si>
    <t>META-ADS-002</t>
  </si>
  <si>
    <t>연결 관리 탭으로 자동 이동하고 개인정보 약관 동의 팝업이 자동 노출된다.</t>
  </si>
  <si>
    <t>정책 7-1-1 / 화면 3-5 #2</t>
  </si>
  <si>
    <t>META-ADS-003</t>
  </si>
  <si>
    <t>광고 계정 정보</t>
  </si>
  <si>
    <t>광고 계정 정보 표시</t>
  </si>
  <si>
    <t>1. 광고 계정 정보 영역 확인</t>
  </si>
  <si>
    <t>광고 계정명 + ID(예: 계정명 (act_123456789012345)), 계정 상태 1개, 이번 달 광고 지출, 잔여 크레딧이 노출된다.</t>
  </si>
  <si>
    <t>정책 7-3-1 / 화면 3-5-1 #2</t>
  </si>
  <si>
    <t>META-ADS-004</t>
  </si>
  <si>
    <t>이번 달 광고 지출 집계 기간·표기</t>
  </si>
  <si>
    <t>당월 광고 집행 이력</t>
  </si>
  <si>
    <t>1. 이번 달 광고 지출 확인</t>
  </si>
  <si>
    <t>당월 1일~현재 합계가 통화기호 없이 천 단위 콤마로 표시된다(예: 999,999,000).</t>
  </si>
  <si>
    <t>META-ADS-005</t>
  </si>
  <si>
    <t>계정 상태</t>
  </si>
  <si>
    <t>광고 계정 상태 - 활성</t>
  </si>
  <si>
    <t>Meta 광고 계정 상태: 정상 상태, 광고 집행 가능</t>
  </si>
  <si>
    <t xml:space="preserve">1. 광고 관리 탭 진입
2. 계정 상태 확인</t>
  </si>
  <si>
    <t>계정 상태에 '활성' 1개만 노출된다.</t>
  </si>
  <si>
    <t>정책 1-6, 7-3-2 / 화면 3-5-1 #2</t>
  </si>
  <si>
    <t>META-ADS-006</t>
  </si>
  <si>
    <t>광고 계정 상태 - 차단</t>
  </si>
  <si>
    <t>Meta 광고 계정 상태: 정책 위반 등으로 Meta가 계정 비활성화</t>
  </si>
  <si>
    <t>계정 상태에 '차단' 1개만 노출된다.</t>
  </si>
  <si>
    <t>META-ADS-007</t>
  </si>
  <si>
    <t>광고 계정 상태 - 비활성</t>
  </si>
  <si>
    <t>Meta 광고 계정 상태: 계정 해지 또는 종료</t>
  </si>
  <si>
    <t>계정 상태에 '비활성' 1개만 노출된다.</t>
  </si>
  <si>
    <t>META-ADS-008</t>
  </si>
  <si>
    <t>광고 계정 상태 - 미결제</t>
  </si>
  <si>
    <t>Meta 광고 계정 상태: 결제 실패 등 미정산 금액으로 광고 중단</t>
  </si>
  <si>
    <t>계정 상태에 '미결제' 1개만 노출된다.</t>
  </si>
  <si>
    <t>META-ADS-009</t>
  </si>
  <si>
    <t>광고 계정 상태 - 펜딩</t>
  </si>
  <si>
    <t>Meta 광고 계정 상태: Meta 검토(리스크 검토/정산 대기 등) 진행 중</t>
  </si>
  <si>
    <t>계정 상태에 '펜딩' 1개만 노출된다.</t>
  </si>
  <si>
    <t>META-ADS-010</t>
  </si>
  <si>
    <t>잔여 크레딧</t>
  </si>
  <si>
    <t>선불 계정 잔여 크레딧</t>
  </si>
  <si>
    <t>선불 결제 광고 계정</t>
  </si>
  <si>
    <t>1. 잔여 크레딧 확인</t>
  </si>
  <si>
    <t>현재 사용 가능한 잔여 크레딧 금액이 표시된다.</t>
  </si>
  <si>
    <t>정책 7-3-3</t>
  </si>
  <si>
    <t>META-ADS-011</t>
  </si>
  <si>
    <t>후불 계정 잔여 크레딧</t>
  </si>
  <si>
    <t>후불 결제 광고 계정</t>
  </si>
  <si>
    <t>'0(후불)'과 같이 0과 후불 텍스트가 함께 표시된다.</t>
  </si>
  <si>
    <t>정책 7-3-3 / 화면 3-5-1</t>
  </si>
  <si>
    <t>META-ADS-012</t>
  </si>
  <si>
    <t>결제 수단 관리 / 계정 상태 확인 링크</t>
  </si>
  <si>
    <t xml:space="preserve">1. [결제 수단 관리] 클릭
2. [계정 상태 확인] 클릭</t>
  </si>
  <si>
    <t>각각 adsmanager.facebook.com/adsmanager/manage/billing_payments?act={id}&amp;business_id={bid}, .../accounts?act={id}&amp;business_id={bid} 가 새 탭으로 열린다(act_ 접두어 제거).</t>
  </si>
  <si>
    <t>정책 7-3, 9-1 / 화면 3-5-1</t>
  </si>
  <si>
    <t>META-ADS-013</t>
  </si>
  <si>
    <t>계정 상태·잔여 크레딧 툴팁</t>
  </si>
  <si>
    <t xml:space="preserve">1. 계정 상태 (?) 클릭
2. 잔여 크레딧 (?) 클릭</t>
  </si>
  <si>
    <t>각 설명 레이어가 노출된다.</t>
  </si>
  <si>
    <t>화면 3-5-1</t>
  </si>
  <si>
    <t>META-ADS-014</t>
  </si>
  <si>
    <t>조회기간</t>
  </si>
  <si>
    <t>기본 조회기간 '어제'</t>
  </si>
  <si>
    <t>조회기간 '어제'가 활성화되어 있고 해당 날짜가 시작일/종료일에 비활성 상태로 표시된다.</t>
  </si>
  <si>
    <t>정책 7-4-2 / 화면 3-5-1 #3-2</t>
  </si>
  <si>
    <t>META-ADS-015</t>
  </si>
  <si>
    <t>기간 버튼 변경 시 재조회</t>
  </si>
  <si>
    <t>1. 오늘/7일/1개월(최근 30일)/이번 달 각각 클릭</t>
  </si>
  <si>
    <t>선택 기간 기준으로 성과 요약 카드와 캠페인 목록이 재조회되고 선택 버튼이 활성 표시된다.</t>
  </si>
  <si>
    <t>META-ADS-016</t>
  </si>
  <si>
    <t>직접 설정 기간 조회</t>
  </si>
  <si>
    <t xml:space="preserve">1. [직접설정] 클릭
2. 시작일/종료일 선택</t>
  </si>
  <si>
    <t>날짜 선택 영역이 활성화되고 두 날짜 모두 선택 시 해당 기간으로 요약 카드와 목록이 조회된다.</t>
  </si>
  <si>
    <t>정책 7-4-2 / 화면 3-5-1 #3-3</t>
  </si>
  <si>
    <t>META-ADS-017</t>
  </si>
  <si>
    <t>미래 날짜 선택 불가</t>
  </si>
  <si>
    <t>직접설정 선택</t>
  </si>
  <si>
    <t>1. 시작일 또는 종료일로 내일 날짜 선택 시도</t>
  </si>
  <si>
    <t>미래 날짜는 선택할 수 없도록 비활성화된다.</t>
  </si>
  <si>
    <t>정책 7-4-2</t>
  </si>
  <si>
    <t>META-ADS-018</t>
  </si>
  <si>
    <t>종료일이 시작일보다 이전 불가</t>
  </si>
  <si>
    <t>직접설정, 시작일 선택</t>
  </si>
  <si>
    <t>1. 종료일로 시작일 이전 날짜 선택 시도</t>
  </si>
  <si>
    <t>시작일 이전 날짜는 종료일로 선택할 수 없도록 비활성화된다.</t>
  </si>
  <si>
    <t>META-ADS-019</t>
  </si>
  <si>
    <t>시작일을 종료일 이후로 변경</t>
  </si>
  <si>
    <t>직접설정, 시작일·종료일 선택 완료</t>
  </si>
  <si>
    <t>1. 시작일을 기존 종료일보다 이후 날짜로 변경</t>
  </si>
  <si>
    <t>기존 종료일이 초기화되고 종료일을 다시 선택하도록 한다.</t>
  </si>
  <si>
    <t>META-ADS-020</t>
  </si>
  <si>
    <t>시작일=종료일(1일) 조회</t>
  </si>
  <si>
    <t>직접설정</t>
  </si>
  <si>
    <t>1. 시작일과 종료일을 같은 날로 선택</t>
  </si>
  <si>
    <t>해당 1일 기준으로 정상 조회된다.</t>
  </si>
  <si>
    <t>META-ADS-021</t>
  </si>
  <si>
    <t>캠페인 검색</t>
  </si>
  <si>
    <t>캠페인명 부분 일치 검색</t>
  </si>
  <si>
    <t xml:space="preserve">1. 캠페인명 일부 입력
2. Enter 또는 돋보기 클릭</t>
  </si>
  <si>
    <t>현재 조회기간 내 캠페인 중 검색어 포함 캠페인만 노출되고, 성과 요약 카드도 검색 결과 기준으로 갱신된다.</t>
  </si>
  <si>
    <t>정책 7-4-2 키워드 검색 / 화면 3-5-1 #3-4</t>
  </si>
  <si>
    <t>META-ADS-022</t>
  </si>
  <si>
    <t>검색 결과 없음 / 초기화</t>
  </si>
  <si>
    <t xml:space="preserve">1. 없는 캠페인명 검색
2. 검색어 삭제 후 검색</t>
  </si>
  <si>
    <t>'표시할 캠페인이 없습니다.' Empty 노출, 초기화 시 현재 조회기간 전체 캠페인으로 복귀한다.</t>
  </si>
  <si>
    <t>화면 3-5-1 #3-4</t>
  </si>
  <si>
    <t>META-ADS-023</t>
  </si>
  <si>
    <t>성과 요약</t>
  </si>
  <si>
    <t>성과 요약 카드 5종</t>
  </si>
  <si>
    <t>Meta 비즈니스 FBE 연동 완료(필수 자산 전체 수신), 조회기간 내 광고 성과 존재</t>
  </si>
  <si>
    <t>1. 성과 요약 카드 확인</t>
  </si>
  <si>
    <t>노출수/클릭수/CTR/전환(구매)/광고 지출 카드가 노출되고 광고 지출 카드 하단에 ROAS가 표시된다.</t>
  </si>
  <si>
    <t>정책 7-4-3 / 화면 3-5-1 #3</t>
  </si>
  <si>
    <t>META-ADS-024</t>
  </si>
  <si>
    <t>CTR 계산 및 소수점</t>
  </si>
  <si>
    <t>노출 1,234,567 / 클릭 34,567</t>
  </si>
  <si>
    <t>1. CTR 확인</t>
  </si>
  <si>
    <t>클릭수 ÷ 노출수 × 100, 소수점 둘째 자리(2.80%)로 표시된다.</t>
  </si>
  <si>
    <t>정책 7-4-3</t>
  </si>
  <si>
    <t>META-ADS-025</t>
  </si>
  <si>
    <t>직전 동일 기간 대비 증감률</t>
  </si>
  <si>
    <t>직전 동일 기간 성과 존재</t>
  </si>
  <si>
    <t>1. 각 카드 증감률 확인</t>
  </si>
  <si>
    <t>증가 시 상승 화살표(초록), 감소 시 하락 화살표(빨강)로 증감률이 표시된다.</t>
  </si>
  <si>
    <t>META-ADS-026</t>
  </si>
  <si>
    <t>ROAS 3.0x 기준 색상</t>
  </si>
  <si>
    <t>ROAS 3.0x 캠페인 / 2.9x 캠페인</t>
  </si>
  <si>
    <t>1. ROAS 값 색상 확인</t>
  </si>
  <si>
    <t>3.0x 이상은 초록, 3.0x 미만은 빨강으로 표시된다(배수 x 표기).</t>
  </si>
  <si>
    <t>META-ADS-027</t>
  </si>
  <si>
    <t>광고 지출 0 / 노출 0인 기간</t>
  </si>
  <si>
    <t>조회기간 내 성과 없음</t>
  </si>
  <si>
    <t>0 또는 '-'로 표시되며 0으로 나누는 오류가 발생하지 않는다.</t>
  </si>
  <si>
    <t>META-ADS-028</t>
  </si>
  <si>
    <t>성과 데이터 안내 및 광고 관리자 바로가기</t>
  </si>
  <si>
    <t xml:space="preserve">1. 안내 문구 확인
2. [광고 관리자 바로가기] 클릭</t>
  </si>
  <si>
    <t>'반영까지 최대 1일 이상 소요' 안내가 노출되고 adsmanager 캠페인 화면이 새 탭으로 열린다(광고 계정 ID·BM ID 바인딩).</t>
  </si>
  <si>
    <t>정책 7-4-1 / 화면 3-5-1 #3-5</t>
  </si>
  <si>
    <t>META-ADS-029</t>
  </si>
  <si>
    <t>캠페인 목록</t>
  </si>
  <si>
    <t>캠페인 목록 기본 컬럼·정렬</t>
  </si>
  <si>
    <t>1. 캠페인 목록 확인</t>
  </si>
  <si>
    <t>캠페인명/목표/노출수/클릭수/구매수/ROAS/매출/광고비용 컬럼이 노출되고 광고 비용 높은 순으로 정렬된다.</t>
  </si>
  <si>
    <t>정책 7-4-4 / 화면 3-5-1 #4</t>
  </si>
  <si>
    <t>META-ADS-030</t>
  </si>
  <si>
    <t>조회기간과 운영기간 일부 겹치는 캠페인</t>
  </si>
  <si>
    <t>조회기간 직전에 종료된 캠페인 / 조회기간 중 종료·일시중지 캠페인</t>
  </si>
  <si>
    <t>1. 조회기간 설정 후 목록 확인</t>
  </si>
  <si>
    <t>조회기간과 운영기간이 일부라도 겹치는 캠페인(종료·일시중지 포함)은 노출되고, 겹치지 않는 캠페인은 노출되지 않는다.</t>
  </si>
  <si>
    <t>정책 7-4-4</t>
  </si>
  <si>
    <t>META-ADS-031</t>
  </si>
  <si>
    <t>금액 표기</t>
  </si>
  <si>
    <t>1. 매출/광고비용 컬럼 확인</t>
  </si>
  <si>
    <t>통화 기호 없이 천 단위 콤마로 표시된다.</t>
  </si>
  <si>
    <t>정책 1-6, 7-4-4</t>
  </si>
  <si>
    <t>META-ADS-032</t>
  </si>
  <si>
    <t>페이지당 노출 개수</t>
  </si>
  <si>
    <t>캠페인 21건 이상</t>
  </si>
  <si>
    <t>1. 20/30/50/70/100개씩 보기 변경</t>
  </si>
  <si>
    <t>기본 20개, 변경 시 첫 페이지부터 재조회되며 조회기간·검색 조건은 유지된다.</t>
  </si>
  <si>
    <t>정책 7-4-5 / 화면 3-5-1 #3-0</t>
  </si>
  <si>
    <t>META-ADS-033</t>
  </si>
  <si>
    <t>캠페인 없음</t>
  </si>
  <si>
    <t>조회기간 내 캠페인 없음</t>
  </si>
  <si>
    <t>1. 목록 확인</t>
  </si>
  <si>
    <t>'표시할 캠페인이 없습니다.'가 노출된다.</t>
  </si>
  <si>
    <t>화면 3-5-1 #4</t>
  </si>
  <si>
    <t>META-ADS-034</t>
  </si>
  <si>
    <t>항목 설정</t>
  </si>
  <si>
    <t>항목 설정 레이어 구성</t>
  </si>
  <si>
    <t>1. [항목] 클릭</t>
  </si>
  <si>
    <t>'목록 타이틀 양식 관리' 레이어에 선택 가능한 타이틀 목록/선택한 타이틀 목록, 검색, 추가/제외, 순서 변경, [초기화]/[저장]이 노출된다.</t>
  </si>
  <si>
    <t>정책 7-4-6·7 / 화면 3-5-2</t>
  </si>
  <si>
    <t>META-ADS-035</t>
  </si>
  <si>
    <t>항목 추가</t>
  </si>
  <si>
    <t>항목 설정 레이어</t>
  </si>
  <si>
    <t xml:space="preserve">1. 좌측에서 CPC 선택
2. [»] 클릭
3. [저장]</t>
  </si>
  <si>
    <t>CPC가 선택한 목록으로 이동하고 저장 후 캠페인 목록에 CPC 컬럼이 추가된다.</t>
  </si>
  <si>
    <t>정책 7-4-7-1 / 화면 3-5-2 #3</t>
  </si>
  <si>
    <t>META-ADS-036</t>
  </si>
  <si>
    <t>항목 제외</t>
  </si>
  <si>
    <t xml:space="preserve">1. 우측에서 목표 선택
2. [«] 클릭
3. [저장]</t>
  </si>
  <si>
    <t>목표가 선택 가능한 목록으로 이동하고 저장 후 목록에서 제외된다. 이후 다시 추가할 수 있다.</t>
  </si>
  <si>
    <t>정책 7-4-7-1</t>
  </si>
  <si>
    <t>META-ADS-037</t>
  </si>
  <si>
    <t>캠페인명 제외·이동 불가</t>
  </si>
  <si>
    <t xml:space="preserve">1. 캠페인명 선택
2. 제외/순서 이동 시도</t>
  </si>
  <si>
    <t>캠페인명은 필수 고정 컬럼으로 제외 및 순서 변경이 불가하다.</t>
  </si>
  <si>
    <t>정책 7-4-4, 7-4-7 / 화면 3-5-2 #2</t>
  </si>
  <si>
    <t>META-ADS-038</t>
  </si>
  <si>
    <t>노출 순서 변경</t>
  </si>
  <si>
    <t xml:space="preserve">1. 우측 항목 선택
2. 최상단/위/아래/최하단 버튼 클릭
3. [저장]</t>
  </si>
  <si>
    <t>선택 항목의 순서가 변경되고 저장 후 캠페인 목록 컬럼 순서에 동일하게 적용된다.</t>
  </si>
  <si>
    <t>정책 7-4-7-2 / 화면 3-5-2 #4</t>
  </si>
  <si>
    <t>META-ADS-039</t>
  </si>
  <si>
    <t>최상단/최하단 위치 항목의 이동 버튼</t>
  </si>
  <si>
    <t xml:space="preserve">1. 캠페인명 바로 다음 항목 선택
2. 마지막 항목 선택</t>
  </si>
  <si>
    <t>최상단 위치에서는 최상단/위 이동, 최하단 위치에서는 아래/최하단 이동 버튼이 비활성화된다.</t>
  </si>
  <si>
    <t>화면 3-5-2 #4</t>
  </si>
  <si>
    <t>META-ADS-040</t>
  </si>
  <si>
    <t>타이틀 목록 검색</t>
  </si>
  <si>
    <t>1. 좌/우 검색창에 항목명 일부 입력</t>
  </si>
  <si>
    <t>각 목록 내에서 항목명 부분 일치 결과만 노출된다.</t>
  </si>
  <si>
    <t>화면 3-5-2 #1·#2</t>
  </si>
  <si>
    <t>META-ADS-041</t>
  </si>
  <si>
    <t>초기화 후 저장</t>
  </si>
  <si>
    <t>항목 구성 변경 저장 상태</t>
  </si>
  <si>
    <t xml:space="preserve">1. [초기화]
2. [저장]</t>
  </si>
  <si>
    <t>캠페인명/목표/노출수/클릭수/구매수/ROAS/매출/광고비용 기본 구성과 기본 순서로 복원된다.</t>
  </si>
  <si>
    <t>정책 7-4-7-3 / 화면 3-5-2 #5</t>
  </si>
  <si>
    <t>META-ADS-042</t>
  </si>
  <si>
    <t>초기화 후 저장하지 않고 닫기</t>
  </si>
  <si>
    <t xml:space="preserve">1. [초기화]
2. 저장 없이 레이어 닫기</t>
  </si>
  <si>
    <t>직전 저장값이 유지된다.</t>
  </si>
  <si>
    <t>정책 7-4-7-3</t>
  </si>
  <si>
    <t>META-ADS-043</t>
  </si>
  <si>
    <t>변경 후 저장하지 않고 닫기</t>
  </si>
  <si>
    <t xml:space="preserve">1. 항목 추가/제외
2. 저장 없이 닫기</t>
  </si>
  <si>
    <t>캠페인 목록에 반영되지 않고 직전 저장값이 유지된다.</t>
  </si>
  <si>
    <t>정책 7-4-7-1·3</t>
  </si>
  <si>
    <t>META-ADS-044</t>
  </si>
  <si>
    <t>저장한 항목 설정 재진입 유지</t>
  </si>
  <si>
    <t>항목 설정 저장 완료</t>
  </si>
  <si>
    <t>1. 다른 탭 이동 후 광고 관리 탭 재진입</t>
  </si>
  <si>
    <t>저장한 컬럼 구성과 순서가 유지된다.</t>
  </si>
  <si>
    <t>META-ADS-045</t>
  </si>
  <si>
    <t>항목 설정은 요약 카드에 영향 없음</t>
  </si>
  <si>
    <t>항목 설정 변경 저장</t>
  </si>
  <si>
    <t>성과 요약 카드 구성은 변경되지 않는다.</t>
  </si>
  <si>
    <t>META-ADS-046</t>
  </si>
  <si>
    <t>전환율 산출 - 클릭수 0</t>
  </si>
  <si>
    <t>전환율 컬럼 추가, 클릭수 0인 캠페인</t>
  </si>
  <si>
    <t>1. 전환율 확인</t>
  </si>
  <si>
    <t>산출하지 않고 '-'로 표시된다.</t>
  </si>
  <si>
    <t>정책 7-4-7</t>
  </si>
  <si>
    <t>META-ADS-047</t>
  </si>
  <si>
    <t>전환율 산출 예시 검증</t>
  </si>
  <si>
    <t>구매 30, 클릭 1,000 캠페인</t>
  </si>
  <si>
    <t>3.00%로 표시된다.</t>
  </si>
  <si>
    <t>정책 7-4-7 예시</t>
  </si>
  <si>
    <t>META-ADS-048</t>
  </si>
  <si>
    <t>종료일시 미설정 캠페인</t>
  </si>
  <si>
    <t>종료일 미설정 캠페인, 종료일시 컬럼 추가</t>
  </si>
  <si>
    <t>1. 종료일시 확인</t>
  </si>
  <si>
    <t>'-'로 표시된다.</t>
  </si>
  <si>
    <t>META-ADS-049</t>
  </si>
  <si>
    <t>전환 추적 설정</t>
  </si>
  <si>
    <t>전환 추적 설정 기본값</t>
  </si>
  <si>
    <t>Meta 비즈니스 FBE 연동 완료(필수 자산 전체 수신), 설정 이력 없음</t>
  </si>
  <si>
    <t>1. 전환 추적 설정 영역 확인</t>
  </si>
  <si>
    <t>Meta 전환 API(CAPI) 연동/네이버페이 구매 전환/카카오톡 체크아웃 구매 전환이 모두 '사용안함'으로 선택되어 있다.</t>
  </si>
  <si>
    <t>정책 7-5 / 화면 3-5-1 #5</t>
  </si>
  <si>
    <t>META-ADS-050</t>
  </si>
  <si>
    <t>전환 추적 설정 저장</t>
  </si>
  <si>
    <t xml:space="preserve">1. CAPI '사용' 선택
2. [확인] 클릭</t>
  </si>
  <si>
    <t>Alert '전환 추적 설정이 저장되었습니다.'가 노출되고 설정값만 저장된다(광고 계정·캠페인·성과 데이터 영향 없음).</t>
  </si>
  <si>
    <t>정책 7-6, 9-2 / 화면 3-5-1 #6</t>
  </si>
  <si>
    <t>META-ADS-051</t>
  </si>
  <si>
    <t>저장 후 재진입 시 설정 유지</t>
  </si>
  <si>
    <t>1. 탭 이동 후 재진입</t>
  </si>
  <si>
    <t>저장한 사용/사용안함 값이 유지된다.</t>
  </si>
  <si>
    <t>정책 7-6</t>
  </si>
  <si>
    <t>META-ADS-052</t>
  </si>
  <si>
    <t>네이버페이 선행 조건 미충족 시 비활성</t>
  </si>
  <si>
    <t>네이버 연동 설정에서 주문형 네이버페이 미체크 또는 공통 인증키 미입력</t>
  </si>
  <si>
    <t>1. 네이버페이 구매 전환 확인</t>
  </si>
  <si>
    <t>사용/사용안함 설정이 비활성화되어 변경할 수 없다.</t>
  </si>
  <si>
    <t>정책 7-5 활성화 조건 / 화면 3-5-1 #5-2</t>
  </si>
  <si>
    <t>META-ADS-053</t>
  </si>
  <si>
    <t>네이버페이 선행 조건 충족 시 활성</t>
  </si>
  <si>
    <t>주문형 네이버페이 체크 + 공통 인증키 입력</t>
  </si>
  <si>
    <t>1. 네이버페이 구매 전환 '사용' 선택 후 저장</t>
  </si>
  <si>
    <t>정상 설정·저장된다.</t>
  </si>
  <si>
    <t>정책 7-5</t>
  </si>
  <si>
    <t>META-ADS-054</t>
  </si>
  <si>
    <t>네이버페이 조건 일부만 충족</t>
  </si>
  <si>
    <t>주문형 네이버페이 체크 + 공통 인증키 미입력</t>
  </si>
  <si>
    <t>비활성화된다(두 조건 모두 필요).</t>
  </si>
  <si>
    <t>정책 7-5 / 화면 3-5-1 #5-2</t>
  </si>
  <si>
    <t>META-ADS-055</t>
  </si>
  <si>
    <t>카카오톡 체크아웃 미연동 시 비활성</t>
  </si>
  <si>
    <t>카카오 연동 설정에서 톡 체크아웃 미연동</t>
  </si>
  <si>
    <t>1. 카카오톡 체크아웃 구매 전환 확인</t>
  </si>
  <si>
    <t>사용/사용안함 설정이 비활성화된다.</t>
  </si>
  <si>
    <t>정책 7-5 / 화면 3-5-1 #5-3</t>
  </si>
  <si>
    <t>META-ADS-056</t>
  </si>
  <si>
    <t>전환 추적 툴팁</t>
  </si>
  <si>
    <t>1. CAPI/네이버페이/카카오 (?) 클릭</t>
  </si>
  <si>
    <t>각 항목 설명 레이어가 노출된다.</t>
  </si>
  <si>
    <t>META-ADS-057</t>
  </si>
  <si>
    <t>CAPI 전송</t>
  </si>
  <si>
    <t>외부 결제 Purchase 전송 - 네이버페이</t>
  </si>
  <si>
    <t>CAPI 사용 + 네이버페이 구매 전환 사용</t>
  </si>
  <si>
    <t xml:space="preserve">1. 네이버페이 주문형으로 구매 완료
2. Meta 이벤트 관리자/전송 로그 확인(개발 협조)</t>
  </si>
  <si>
    <t>Purchase 서버 이벤트가 event_id=주문번호, action_source=website, custom_data.payment_method=naver_pay, 해시 처리된 user_data로 전송된다.</t>
  </si>
  <si>
    <t>정책 7-5-2, 10-4-1</t>
  </si>
  <si>
    <t>META-ADS-058</t>
  </si>
  <si>
    <t>외부 결제 Purchase 전송 - 카카오톡 체크아웃</t>
  </si>
  <si>
    <t>CAPI 사용 + 카카오톡 체크아웃 구매 전환 사용</t>
  </si>
  <si>
    <t xml:space="preserve">1. 톡 체크아웃으로 구매 완료
2. 전송 로그 확인</t>
  </si>
  <si>
    <t>payment_method=kakao_checkout으로 Purchase 이벤트가 전송된다.</t>
  </si>
  <si>
    <t>정책 7-5-2</t>
  </si>
  <si>
    <t>META-ADS-059</t>
  </si>
  <si>
    <t>CAPI 사용안함 + 외부결제 사용</t>
  </si>
  <si>
    <t>CAPI 사용안함, 네이버페이 구매 전환 사용</t>
  </si>
  <si>
    <t xml:space="preserve">1. 네이버페이 주문형 구매 완료
2. 전송 로그 확인</t>
  </si>
  <si>
    <t>외부 결제 Purchase 이벤트가 전송되지 않는다.</t>
  </si>
  <si>
    <t>정책 10-2-1, 10-4-1, 10-8</t>
  </si>
  <si>
    <t>META-ADS-060</t>
  </si>
  <si>
    <t>CAPI 사용 + 외부결제 사용안함</t>
  </si>
  <si>
    <t>CAPI 사용, 네이버페이 구매 전환 사용안함</t>
  </si>
  <si>
    <t>1. 네이버페이 주문형 구매 완료</t>
  </si>
  <si>
    <t>해당 결제수단 Purchase 이벤트는 전송되지 않는다.</t>
  </si>
  <si>
    <t>정책 10-2-2</t>
  </si>
  <si>
    <t>META-ADS-061</t>
  </si>
  <si>
    <t>외부 주문서 이동만 하고 구매 미완료</t>
  </si>
  <si>
    <t>1. 네이버페이 버튼 클릭 후 결제 취소</t>
  </si>
  <si>
    <t>구매 완료가 확인되지 않았으므로 Purchase 이벤트가 발생하지 않는다.</t>
  </si>
  <si>
    <t>정책 10-4-1</t>
  </si>
  <si>
    <t>META-ADS-062</t>
  </si>
  <si>
    <t>Pixel·CAPI 중복 제거</t>
  </si>
  <si>
    <t>CAPI 사용, 일반 PG 결제</t>
  </si>
  <si>
    <t xml:space="preserve">1. 구매 완료
2. Pixel과 CAPI 이벤트 확인</t>
  </si>
  <si>
    <t>동일 주문에 동일 event_name·event_id가 전달되어 Meta에서 1건으로 집계된다.</t>
  </si>
  <si>
    <t>정책 7-5-3, 10-5</t>
  </si>
  <si>
    <t>META-ADS-063</t>
  </si>
  <si>
    <t>CAPI 대상 고객 행동 이벤트</t>
  </si>
  <si>
    <t>CAPI 사용</t>
  </si>
  <si>
    <t>1. 상품 상세 조회/검색/장바구니/관심상품/주문서 진입/결제정보 입력/구매/회원가입 수행</t>
  </si>
  <si>
    <t>ViewContent/Search/AddToCart/AddToWishlist/InitiateCheckout/AddPaymentInfo/Purchase/CompleteRegistration 이벤트가 정상 처리 시점 기준으로 서버 전송된다.</t>
  </si>
  <si>
    <t>정책 10-3, 10-4</t>
  </si>
  <si>
    <t>META-ADS-064</t>
  </si>
  <si>
    <t>CAPI 사용 → 사용안함 변경 시 전송 중단</t>
  </si>
  <si>
    <t>CAPI 사용 상태</t>
  </si>
  <si>
    <t xml:space="preserve">1. CAPI 사용안함 저장
2. 구매/장바구니 등 행동 발생</t>
  </si>
  <si>
    <t>모든 CAPI 서버 이벤트(외부결제 포함) 전송이 중단되며 기존 Meta Pixel 이벤트는 영향 없이 동작한다.</t>
  </si>
  <si>
    <t>정책 10-8</t>
  </si>
  <si>
    <t>META-ADS-065</t>
  </si>
  <si>
    <t>픽셀 미연결/인증 비정상 시 CAPI 미전송</t>
  </si>
  <si>
    <t>CAPI 사용, 픽셀 확인불가 또는 토큰 만료</t>
  </si>
  <si>
    <t>1. 구매 완료</t>
  </si>
  <si>
    <t>CAPI 전송 기본 조건 미충족으로 이벤트가 전송되지 않는다.</t>
  </si>
  <si>
    <t>정책 10-2 CAPI 전송 기본 조건</t>
  </si>
  <si>
    <t>META-SHOP-001</t>
  </si>
  <si>
    <t>미연동 Shops 관리 Empty State</t>
  </si>
  <si>
    <t>1. Shops 관리 탭 진입</t>
  </si>
  <si>
    <t>'비즈니스 자산 연동 후 Shop을 관리할 수 있습니다.' 안내와 [비즈니스 자산 설정하기] 버튼이 노출되고 Shops 정보는 조회되지 않는다.</t>
  </si>
  <si>
    <t>정책 9 Shops 연동 전 / 화면 3-6</t>
  </si>
  <si>
    <t>META-SHOP-002</t>
  </si>
  <si>
    <t>1. 버튼 클릭</t>
  </si>
  <si>
    <t>연결 관리 탭으로 이동하고 FBE 연동(개인정보 동의) 절차를 진행할 수 있다.</t>
  </si>
  <si>
    <t>화면 3-6 #2</t>
  </si>
  <si>
    <t>META-SHOP-003</t>
  </si>
  <si>
    <t>계정 정보</t>
  </si>
  <si>
    <t>Shops 계정 정보 표시</t>
  </si>
  <si>
    <t>1. Shops 계정 정보 영역 확인</t>
  </si>
  <si>
    <t>연결된 Commerce Account 명과 연결된 Catalog 명이 노출된다.</t>
  </si>
  <si>
    <t>정책 9 연결된 Shop 계정 정보 / 화면 3-6-1 #2</t>
  </si>
  <si>
    <t>META-SHOP-004</t>
  </si>
  <si>
    <t>Catalog 미존재 시</t>
  </si>
  <si>
    <t>Meta 비즈니스 FBE 연동 완료(필수 자산 전체 수신), Commerce Account에 연결된 Catalog 없음</t>
  </si>
  <si>
    <t>Catalog가 미연결 상태로 처리된다.</t>
  </si>
  <si>
    <t>정책 9 Shops</t>
  </si>
  <si>
    <t>META-SHOP-005</t>
  </si>
  <si>
    <t>커머스 관리자 바로가기</t>
  </si>
  <si>
    <t>화면 3-6-1 #2-1</t>
  </si>
  <si>
    <t>META-SHOP-006</t>
  </si>
  <si>
    <t>판매 채널</t>
  </si>
  <si>
    <t>Facebook Shop 연결중</t>
  </si>
  <si>
    <t>Meta 비즈니스 FBE 연동 완료(필수 자산 전체 수신), Commerce Account Shop에 Facebook Page 연결</t>
  </si>
  <si>
    <t>1. 판매 채널 &gt; Facebook Shop 카드 확인</t>
  </si>
  <si>
    <t>Shop 또는 Page 명과 '연결중' 상태가 표시된다.</t>
  </si>
  <si>
    <t>정책 9 판매채널 / 화면 3-6-1 #3-1</t>
  </si>
  <si>
    <t>META-SHOP-007</t>
  </si>
  <si>
    <t>Facebook Shop 미연결</t>
  </si>
  <si>
    <t>Meta 비즈니스 FBE 연동 완료(필수 자산 전체 수신), Facebook 판매 채널 미설정</t>
  </si>
  <si>
    <t>1. Facebook Shop 카드 확인</t>
  </si>
  <si>
    <t>'연결된 계정이 없습니다.'와 '미연결' 상태가 표시된다.</t>
  </si>
  <si>
    <t>정책 9 / 화면 3-6-1 #3-1</t>
  </si>
  <si>
    <t>META-SHOP-008</t>
  </si>
  <si>
    <t>Instagram Shop 연결중</t>
  </si>
  <si>
    <t>Meta 비즈니스 FBE 연동 완료(필수 자산 전체 수신), IG 계정 및 판매 채널 연결</t>
  </si>
  <si>
    <t>1. Instagram Shop 카드 확인</t>
  </si>
  <si>
    <t>@username(또는 Shop 정보)과 '연결중' 상태가 표시된다.</t>
  </si>
  <si>
    <t>정책 9 / 화면 3-6-1 #3-2</t>
  </si>
  <si>
    <t>META-SHOP-009</t>
  </si>
  <si>
    <t>Instagram 스킵 시 Instagram Shop 미연결</t>
  </si>
  <si>
    <t>META-SHOP-010</t>
  </si>
  <si>
    <t>판매 채널 [설정]</t>
  </si>
  <si>
    <t xml:space="preserve">1. Facebook Shop [설정] 클릭
2. Instagram Shop [설정] 클릭</t>
  </si>
  <si>
    <t>각각 https://business.facebook.com/commerce_manager/?business_id={business_id} 가 새 탭으로 열린다. 메이크샵에서는 Shop/채널을 생성·수정·삭제하지 않는다.</t>
  </si>
  <si>
    <t>정책 9 / 화면 3-6-1 설정 버튼</t>
  </si>
  <si>
    <t>META-SHOP-011</t>
  </si>
  <si>
    <t>Shops 관리 배너 [자세히보기]</t>
  </si>
  <si>
    <t>1. [자세히보기] 클릭</t>
  </si>
  <si>
    <t>Shops 관련 가이드/매뉴얼 페이지가 새 탭으로 열린다(URL 제공 시).</t>
  </si>
  <si>
    <t>화면 3-6-1 #1</t>
  </si>
  <si>
    <t>META-COM-001</t>
  </si>
  <si>
    <t>데이터 표시</t>
  </si>
  <si>
    <t>상태값·뱃지 1개만 노출</t>
  </si>
  <si>
    <t>1. 연결 관리·상품 피드·광고 관리의 상태 표시 확인</t>
  </si>
  <si>
    <t>상태값이 여러 개 정의된 항목은 현재 상태 1개만 노출된다.</t>
  </si>
  <si>
    <t>정책 1-6</t>
  </si>
  <si>
    <t>META-COM-002</t>
  </si>
  <si>
    <t>통화 표기</t>
  </si>
  <si>
    <t>1. 금액 표시 영역 확인</t>
  </si>
  <si>
    <t>광고 계정 설정 통화를 따르며 통화 기호는 표기하지 않는다.</t>
  </si>
  <si>
    <t>META-COM-003</t>
  </si>
  <si>
    <t>실시간 조회</t>
  </si>
  <si>
    <t>Meta API 오류 시 화면 처리</t>
  </si>
  <si>
    <t>Meta 비즈니스 FBE 연동 완료(필수 자산 전체 수신), Meta API 응답 오류</t>
  </si>
  <si>
    <t>조회 실패 자산은 '확인불가'로 표시되고 화면 전체 오류로 확산되지 않는다.</t>
  </si>
  <si>
    <t>정책 1-2</t>
  </si>
  <si>
    <t>META-COM-004</t>
  </si>
  <si>
    <t>모든 Meta 바로가기는 새 탭</t>
  </si>
  <si>
    <t>1. 화면 내 모든 바로가기 클릭</t>
  </si>
  <si>
    <t>모든 링크가 새 탭으로 열리고 메이크샵 어드민 화면은 유지된다.</t>
  </si>
  <si>
    <t>정책 9-1</t>
  </si>
  <si>
    <t>META-COM-005</t>
  </si>
  <si>
    <t>반응형</t>
  </si>
  <si>
    <t>화면 폭 축소 시 레이아웃</t>
  </si>
  <si>
    <t>1. 브라우저 폭 1100px, 800px로 축소</t>
  </si>
  <si>
    <t>레이아웃이 깨지지 않고 표는 가로 스크롤, 서브메뉴는 상단 탭 형태로 표시된다.</t>
  </si>
  <si>
    <t>비기능</t>
  </si>
  <si>
    <t>META-COM-006</t>
  </si>
  <si>
    <t>회귀</t>
  </si>
  <si>
    <t>Google 채널 연동 기능 영향 없음</t>
  </si>
  <si>
    <t>Google 채널과 Meta 동시 연동</t>
  </si>
  <si>
    <t xml:space="preserve">1. Meta 연동/해제/카테고리 매칭 수행
2. Google 채널 연결·피드 기능 확인</t>
  </si>
  <si>
    <t>공통 GPC 값 외 Google 채널 연동 상태·피드 전송에 영향이 없다.</t>
  </si>
  <si>
    <t>정책 3-3</t>
  </si>
  <si>
    <t>META-COM-007</t>
  </si>
  <si>
    <t>네이버/카카오 연동 설정 영향 없음</t>
  </si>
  <si>
    <t>네이버페이 주문형·톡 체크아웃 사용 쇼핑몰</t>
  </si>
  <si>
    <t xml:space="preserve">1. Meta 전환 추적 설정 변경
2. 네이버/카카오 결제 진행</t>
  </si>
  <si>
    <t>기존 네이버페이·카카오 결제 및 연동 설정이 정상 동작한다.</t>
  </si>
  <si>
    <t>META-COM-008</t>
  </si>
  <si>
    <t>기존 페이스북 연동 카드 사용자 이관</t>
  </si>
  <si>
    <t>기존 페이스북 연동 사용 쇼핑몰</t>
  </si>
  <si>
    <t>1. 채널 메뉴 진입</t>
  </si>
  <si>
    <t>기존 카드명이 Meta 비즈니스로 변경되어 노출된다.</t>
  </si>
  <si>
    <t>정책 2-1</t>
  </si>
  <si>
    <t>구분</t>
  </si>
  <si>
    <t>항목</t>
  </si>
  <si>
    <t>결정 주체 / 위치</t>
  </si>
  <si>
    <t>의미 / 문구</t>
  </si>
  <si>
    <t>근거</t>
  </si>
  <si>
    <t>상품 피드 상태</t>
  </si>
  <si>
    <t>활동중</t>
  </si>
  <si>
    <t>Meta</t>
  </si>
  <si>
    <t>Meta 승인이 완료되어 정상 노출 가능한 상태</t>
  </si>
  <si>
    <t>검토중</t>
  </si>
  <si>
    <t>Meta로 상품 피드가 전송되어 검수 중인 상태</t>
  </si>
  <si>
    <t>미승인</t>
  </si>
  <si>
    <t>Meta 커머스 정책 위반 등으로 거부된 상태</t>
  </si>
  <si>
    <t>노출제한</t>
  </si>
  <si>
    <t>메이크샵</t>
  </si>
  <si>
    <t>상품 정보 또는 Meta 연동 기준을 충족하지 않아 사전 전송이 제한된 상태</t>
  </si>
  <si>
    <t>사용안함</t>
  </si>
  <si>
    <t>카테고리 미매칭 또는 사용여부 OFF로 피드 제외</t>
  </si>
  <si>
    <t>미전송</t>
  </si>
  <si>
    <t>전송 조건은 충족하지만 최신 상품 정보가 아직 Meta에 전송되지 않은 상태</t>
  </si>
  <si>
    <t>상태 판정 순서</t>
  </si>
  <si>
    <t>사용안함 → 노출제한 → 미전송 → Meta 상태(활동중/검토중/미승인)</t>
  </si>
  <si>
    <t>정상 / 미연동 / 확인불가</t>
  </si>
  <si>
    <t>Meta API</t>
  </si>
  <si>
    <t>정상: 조회 성공 · 미연동: 자산 없음(IG 스킵 등) · 확인불가: 자산은 있으나 조회 실패(권한 회수, 토큰 만료, API 오류)</t>
  </si>
  <si>
    <t>광고 계정 상태</t>
  </si>
  <si>
    <t>활성/차단/비활성/미결제/펜딩</t>
  </si>
  <si>
    <t>현재 상태 1개만 노출</t>
  </si>
  <si>
    <t>정책 7-3-2</t>
  </si>
  <si>
    <t>Alert</t>
  </si>
  <si>
    <t>필수 동의 미체크</t>
  </si>
  <si>
    <t>필수 동의 항목에 모두 동의해 주세요.</t>
  </si>
  <si>
    <t>Confirm</t>
  </si>
  <si>
    <t>카테고리 미매칭 닫기</t>
  </si>
  <si>
    <t>카테고리를 매칭하지 않은 상품은 피드에서 제외되어 Meta에 노출되지 않습니다. 다음에 반영하시겠습니까?</t>
  </si>
  <si>
    <t>정책 9-2 / 화면 3-3-2</t>
  </si>
  <si>
    <t>카테고리 매칭 저장</t>
  </si>
  <si>
    <t>상품 카테고리 매칭이 저장되었습니다.</t>
  </si>
  <si>
    <t>연결을 해제하면 Meta 상품 피드 동기화, 광고 계정 조회 및 전환 추적 기능이 중단됩니다. 이미 Meta에 전달된 정보의 삭제는 Meta 정책에 따릅니다. 연결을 해제하시겠습니까?</t>
  </si>
  <si>
    <t>정책 4-1-4 / 화면 3-3-3</t>
  </si>
  <si>
    <t>해제 실패(통신·서버)</t>
  </si>
  <si>
    <t>연결 해제에 실패했습니다. 잠시 후 다시 시도해 주세요.</t>
  </si>
  <si>
    <t>해제 실패(인증·권한)</t>
  </si>
  <si>
    <t>연결 해제 권한이 만료되었습니다. 다시 로그인 후 시도해 주세요.</t>
  </si>
  <si>
    <t>선택 상품 없음</t>
  </si>
  <si>
    <t>선택된 상품이 없습니다.</t>
  </si>
  <si>
    <t>피드 반영 성공</t>
  </si>
  <si>
    <t>선택한 상품이 상품 피드에 반영되었습니다.</t>
  </si>
  <si>
    <t>GPC 미선택(사용여부 ON)</t>
  </si>
  <si>
    <t>상품 피드를 사용하려면 페이스북 카테고리를 선택해 주세요.</t>
  </si>
  <si>
    <t>전환 설정 저장</t>
  </si>
  <si>
    <t>전환 추적 설정이 저장되었습니다.</t>
  </si>
  <si>
    <t>URL</t>
  </si>
  <si>
    <t>비즈니스 관리자</t>
  </si>
  <si>
    <t>https://business.facebook.com/settings/info?business_id={business_id}</t>
  </si>
  <si>
    <t>페이지</t>
  </si>
  <si>
    <t>https://www.facebook.com/{page_id}</t>
  </si>
  <si>
    <t>이벤트 관리자</t>
  </si>
  <si>
    <t>https://business.facebook.com/events_manager2/list/pixel/{pixel_id}/overview?business_id={business_id}</t>
  </si>
  <si>
    <t>커머스 관리자</t>
  </si>
  <si>
    <t>연결 관리 / Shops 판매 채널</t>
  </si>
  <si>
    <t>https://business.facebook.com/commerce_manager/?business_id={business_id}</t>
  </si>
  <si>
    <t>화면 3-3-3, 3-6-1</t>
  </si>
  <si>
    <t>인스타그램 설정</t>
  </si>
  <si>
    <t>https://business.facebook.com/settings/instagram-accounts?business_id={business_id}</t>
  </si>
  <si>
    <t>광고 계정 / 광고 관리자</t>
  </si>
  <si>
    <t>연결 관리 / 광고 관리</t>
  </si>
  <si>
    <t>https://adsmanager.facebook.com/adsmanager/manage/campaigns?act={ad_account_id}&amp;business_id={business_id} (act_ 접두어 제거)</t>
  </si>
  <si>
    <t>화면 3-3-3, 3-5-1</t>
  </si>
  <si>
    <t>Meta Catalog / 커머스 관리자 바로가기</t>
  </si>
  <si>
    <t>상품 피드 / Shops</t>
  </si>
  <si>
    <t>https://business.facebook.com/commerce/catalogs/{catalog_id}/products?business_id={business_id}</t>
  </si>
  <si>
    <t>화면 3-4-1, 3-6-1</t>
  </si>
  <si>
    <t>결제 수단 관리</t>
  </si>
  <si>
    <t>https://adsmanager.facebook.com/adsmanager/manage/billing_payments?act={ad_account_id}&amp;business_id={business_id}</t>
  </si>
  <si>
    <t>정책 7-3</t>
  </si>
  <si>
    <t>계정 상태 확인</t>
  </si>
  <si>
    <t>https://adsmanager.facebook.com/adsmanager/manage/accounts?act={ad_account_id}&amp;business_id={business_id}</t>
  </si>
  <si>
    <t>도메인 인증 자세히 보기</t>
  </si>
  <si>
    <t>https://www.facebook.com/business/help/321167023127050</t>
  </si>
  <si>
    <t>화면 3-3-3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</si>
</sst>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11" x14ac:knownFonts="1">
    <font>
      <color theme="1"/>
      <family val="2"/>
      <scheme val="minor"/>
      <sz val="11"/>
      <name val="Calibri"/>
    </font>
    <font>
      <b/>
      <color rgb="FF1F3864"/>
      <sz val="16"/>
      <name val="Arial"/>
    </font>
    <font>
      <b/>
      <sz val="10"/>
      <name val="Arial"/>
    </font>
    <font>
      <sz val="10"/>
      <name val="Arial"/>
    </font>
    <font>
      <b/>
      <color rgb="FF1F3864"/>
      <sz val="10"/>
      <name val="Arial"/>
    </font>
    <font>
      <b/>
      <color rgb="FF000000"/>
      <sz val="10"/>
      <name val="Arial"/>
    </font>
    <font>
      <b/>
      <color rgb="FF1F3864"/>
      <sz val="14"/>
      <name val="Arial"/>
    </font>
    <font>
      <b/>
      <color rgb="FFFFFFFF"/>
      <sz val="10"/>
      <name val="Arial"/>
    </font>
    <font>
      <b/>
      <color rgb="FF1F3864"/>
      <sz val="12"/>
      <name val="Arial"/>
    </font>
    <font>
      <color rgb="FF6B7280"/>
      <sz val="9"/>
      <name val="Arial"/>
    </font>
    <font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9EFF7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165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ont>
        <b/>
        <color rgb="FF1E7B3A"/>
      </font>
      <fill>
        <patternFill patternType="solid">
          <bgColor rgb="FFE2F5E8"/>
        </patternFill>
      </fill>
    </dxf>
    <dxf>
      <font>
        <b/>
        <color rgb="FFC0272D"/>
      </font>
      <fill>
        <patternFill patternType="solid">
          <bgColor rgb="FFFDE4E4"/>
        </patternFill>
      </fill>
    </dxf>
    <dxf>
      <font>
        <b/>
        <color rgb="FFB26A00"/>
      </font>
      <fill>
        <patternFill patternType="solid">
          <bgColor rgb="FFFFF1D6"/>
        </patternFill>
      </fill>
    </dxf>
    <dxf>
      <font>
        <b/>
        <color rgb="FF6B7280"/>
      </font>
      <fill>
        <patternFill patternType="solid">
          <bgColor rgb="FFEDEFF2"/>
        </patternFill>
      </fill>
    </dxf>
    <dxf>
      <font>
        <b/>
        <color rgb="FFC0272D"/>
      </font>
      <fill>
        <patternFill patternType="solid">
          <bgColor rgb="FFFD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3" width="100" customWidth="1"/>
  </cols>
  <sheetData>
    <row r="2" spans="2:2" x14ac:dyDescent="0.25">
      <c r="B2" s="1" t="s">
        <v>0</v>
      </c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3" t="s">
        <v>8</v>
      </c>
    </row>
    <row r="8" spans="2:3" x14ac:dyDescent="0.25">
      <c r="B8" s="2" t="s">
        <v>9</v>
      </c>
      <c r="C8" s="3" t="s">
        <v>10</v>
      </c>
    </row>
    <row r="9" spans="2:3" x14ac:dyDescent="0.25">
      <c r="B9" s="2" t="s">
        <v>11</v>
      </c>
      <c r="C9" s="3">
        <f>COUNTA('TC'!A:A)-1</f>
      </c>
    </row>
    <row r="10" spans="2:3" x14ac:dyDescent="0.25">
      <c r="B10" s="2" t="s">
        <v>12</v>
      </c>
      <c r="C10" s="3" t="s">
        <v>13</v>
      </c>
    </row>
    <row r="13" spans="2:3" x14ac:dyDescent="0.25">
      <c r="B13" s="4" t="s">
        <v>14</v>
      </c>
      <c r="C13" s="5" t="s">
        <v>15</v>
      </c>
    </row>
    <row r="14" spans="2:3" x14ac:dyDescent="0.25">
      <c r="B14" s="6" t="s">
        <v>16</v>
      </c>
      <c r="C14" s="5" t="s">
        <v>17</v>
      </c>
    </row>
    <row r="15" spans="2:3" x14ac:dyDescent="0.25">
      <c r="B15" s="6" t="s">
        <v>18</v>
      </c>
      <c r="C15" s="5" t="s">
        <v>19</v>
      </c>
    </row>
    <row r="16" spans="2:3" x14ac:dyDescent="0.25">
      <c r="B16" s="6" t="s">
        <v>20</v>
      </c>
      <c r="C16" s="5" t="s">
        <v>21</v>
      </c>
    </row>
    <row r="17" spans="2:3" x14ac:dyDescent="0.25">
      <c r="B17" s="6" t="s">
        <v>22</v>
      </c>
      <c r="C17" s="5" t="s">
        <v>23</v>
      </c>
    </row>
    <row r="18" spans="2:3" x14ac:dyDescent="0.25">
      <c r="B18" s="6" t="s">
        <v>24</v>
      </c>
      <c r="C18" s="5" t="s">
        <v>25</v>
      </c>
    </row>
    <row r="19" spans="2:3" x14ac:dyDescent="0.25">
      <c r="B19" s="4" t="s">
        <v>26</v>
      </c>
      <c r="C19" s="5" t="s">
        <v>15</v>
      </c>
    </row>
    <row r="20" spans="2:3" x14ac:dyDescent="0.25">
      <c r="B20" s="6" t="s">
        <v>27</v>
      </c>
      <c r="C20" s="5" t="s">
        <v>28</v>
      </c>
    </row>
    <row r="21" spans="2:3" x14ac:dyDescent="0.25">
      <c r="B21" s="6" t="s">
        <v>29</v>
      </c>
      <c r="C21" s="5" t="s">
        <v>30</v>
      </c>
    </row>
    <row r="22" spans="2:3" x14ac:dyDescent="0.25">
      <c r="B22" s="6" t="s">
        <v>31</v>
      </c>
      <c r="C22" s="5" t="s">
        <v>32</v>
      </c>
    </row>
    <row r="23" spans="2:3" x14ac:dyDescent="0.25">
      <c r="B23" s="4" t="s">
        <v>33</v>
      </c>
      <c r="C23" s="5" t="s">
        <v>34</v>
      </c>
    </row>
    <row r="24" spans="2:3" x14ac:dyDescent="0.25">
      <c r="B24" s="4" t="s">
        <v>35</v>
      </c>
      <c r="C24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11" width="11" customWidth="1"/>
  </cols>
  <sheetData>
    <row r="2" spans="2:2" x14ac:dyDescent="0.25">
      <c r="B2" s="7" t="s">
        <v>37</v>
      </c>
    </row>
    <row r="4" ht="28" customHeight="1" spans="1:11" x14ac:dyDescent="0.25">
      <c r="A4" s="8" t="s">
        <v>15</v>
      </c>
      <c r="B4" s="9" t="s">
        <v>38</v>
      </c>
      <c r="C4" s="9" t="s">
        <v>39</v>
      </c>
      <c r="D4" s="9" t="s">
        <v>27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</row>
    <row r="5" spans="2:11" x14ac:dyDescent="0.25">
      <c r="B5" s="10" t="s">
        <v>47</v>
      </c>
      <c r="C5" s="11">
        <f>COUNTIF(TC!$B:$B,$B5)</f>
      </c>
      <c r="D5" s="11">
        <f>COUNTIFS(TC!$B:$B,$B5,TC!$E:$E,"P1")</f>
      </c>
      <c r="E5" s="11">
        <f>COUNTIFS(TC!$B:$B,$B5,TC!$K:$K,"미수행")</f>
      </c>
      <c r="F5" s="11">
        <f>COUNTIFS(TC!$B:$B,$B5,TC!$K:$K,"Pass")</f>
      </c>
      <c r="G5" s="11">
        <f>COUNTIFS(TC!$B:$B,$B5,TC!$K:$K,"Fail")</f>
      </c>
      <c r="H5" s="11">
        <f>COUNTIFS(TC!$B:$B,$B5,TC!$K:$K,"Block")</f>
      </c>
      <c r="I5" s="11">
        <f>COUNTIFS(TC!$B:$B,$B5,TC!$K:$K,"N/A")</f>
      </c>
      <c r="J5" s="12">
        <f>IF(C5=0,0,(C5-E5)/C5)</f>
      </c>
      <c r="K5" s="12">
        <f>IF((C5-E5-I5)=0,0,F5/(C5-E5-I5))</f>
      </c>
    </row>
    <row r="6" spans="2:11" x14ac:dyDescent="0.25">
      <c r="B6" s="10" t="s">
        <v>48</v>
      </c>
      <c r="C6" s="11">
        <f>COUNTIF(TC!$B:$B,$B6)</f>
      </c>
      <c r="D6" s="11">
        <f>COUNTIFS(TC!$B:$B,$B6,TC!$E:$E,"P1")</f>
      </c>
      <c r="E6" s="11">
        <f>COUNTIFS(TC!$B:$B,$B6,TC!$K:$K,"미수행")</f>
      </c>
      <c r="F6" s="11">
        <f>COUNTIFS(TC!$B:$B,$B6,TC!$K:$K,"Pass")</f>
      </c>
      <c r="G6" s="11">
        <f>COUNTIFS(TC!$B:$B,$B6,TC!$K:$K,"Fail")</f>
      </c>
      <c r="H6" s="11">
        <f>COUNTIFS(TC!$B:$B,$B6,TC!$K:$K,"Block")</f>
      </c>
      <c r="I6" s="11">
        <f>COUNTIFS(TC!$B:$B,$B6,TC!$K:$K,"N/A")</f>
      </c>
      <c r="J6" s="12">
        <f>IF(C6=0,0,(C6-E6)/C6)</f>
      </c>
      <c r="K6" s="12">
        <f>IF((C6-E6-I6)=0,0,F6/(C6-E6-I6))</f>
      </c>
    </row>
    <row r="7" spans="2:11" x14ac:dyDescent="0.25">
      <c r="B7" s="10" t="s">
        <v>49</v>
      </c>
      <c r="C7" s="11">
        <f>COUNTIF(TC!$B:$B,$B7)</f>
      </c>
      <c r="D7" s="11">
        <f>COUNTIFS(TC!$B:$B,$B7,TC!$E:$E,"P1")</f>
      </c>
      <c r="E7" s="11">
        <f>COUNTIFS(TC!$B:$B,$B7,TC!$K:$K,"미수행")</f>
      </c>
      <c r="F7" s="11">
        <f>COUNTIFS(TC!$B:$B,$B7,TC!$K:$K,"Pass")</f>
      </c>
      <c r="G7" s="11">
        <f>COUNTIFS(TC!$B:$B,$B7,TC!$K:$K,"Fail")</f>
      </c>
      <c r="H7" s="11">
        <f>COUNTIFS(TC!$B:$B,$B7,TC!$K:$K,"Block")</f>
      </c>
      <c r="I7" s="11">
        <f>COUNTIFS(TC!$B:$B,$B7,TC!$K:$K,"N/A")</f>
      </c>
      <c r="J7" s="12">
        <f>IF(C7=0,0,(C7-E7)/C7)</f>
      </c>
      <c r="K7" s="12">
        <f>IF((C7-E7-I7)=0,0,F7/(C7-E7-I7))</f>
      </c>
    </row>
    <row r="8" spans="2:11" x14ac:dyDescent="0.25">
      <c r="B8" s="10" t="s">
        <v>50</v>
      </c>
      <c r="C8" s="11">
        <f>COUNTIF(TC!$B:$B,$B8)</f>
      </c>
      <c r="D8" s="11">
        <f>COUNTIFS(TC!$B:$B,$B8,TC!$E:$E,"P1")</f>
      </c>
      <c r="E8" s="11">
        <f>COUNTIFS(TC!$B:$B,$B8,TC!$K:$K,"미수행")</f>
      </c>
      <c r="F8" s="11">
        <f>COUNTIFS(TC!$B:$B,$B8,TC!$K:$K,"Pass")</f>
      </c>
      <c r="G8" s="11">
        <f>COUNTIFS(TC!$B:$B,$B8,TC!$K:$K,"Fail")</f>
      </c>
      <c r="H8" s="11">
        <f>COUNTIFS(TC!$B:$B,$B8,TC!$K:$K,"Block")</f>
      </c>
      <c r="I8" s="11">
        <f>COUNTIFS(TC!$B:$B,$B8,TC!$K:$K,"N/A")</f>
      </c>
      <c r="J8" s="12">
        <f>IF(C8=0,0,(C8-E8)/C8)</f>
      </c>
      <c r="K8" s="12">
        <f>IF((C8-E8-I8)=0,0,F8/(C8-E8-I8))</f>
      </c>
    </row>
    <row r="9" spans="2:11" x14ac:dyDescent="0.25">
      <c r="B9" s="10" t="s">
        <v>51</v>
      </c>
      <c r="C9" s="11">
        <f>COUNTIF(TC!$B:$B,$B9)</f>
      </c>
      <c r="D9" s="11">
        <f>COUNTIFS(TC!$B:$B,$B9,TC!$E:$E,"P1")</f>
      </c>
      <c r="E9" s="11">
        <f>COUNTIFS(TC!$B:$B,$B9,TC!$K:$K,"미수행")</f>
      </c>
      <c r="F9" s="11">
        <f>COUNTIFS(TC!$B:$B,$B9,TC!$K:$K,"Pass")</f>
      </c>
      <c r="G9" s="11">
        <f>COUNTIFS(TC!$B:$B,$B9,TC!$K:$K,"Fail")</f>
      </c>
      <c r="H9" s="11">
        <f>COUNTIFS(TC!$B:$B,$B9,TC!$K:$K,"Block")</f>
      </c>
      <c r="I9" s="11">
        <f>COUNTIFS(TC!$B:$B,$B9,TC!$K:$K,"N/A")</f>
      </c>
      <c r="J9" s="12">
        <f>IF(C9=0,0,(C9-E9)/C9)</f>
      </c>
      <c r="K9" s="12">
        <f>IF((C9-E9-I9)=0,0,F9/(C9-E9-I9))</f>
      </c>
    </row>
    <row r="10" spans="2:11" x14ac:dyDescent="0.25">
      <c r="B10" s="10" t="s">
        <v>52</v>
      </c>
      <c r="C10" s="11">
        <f>COUNTIF(TC!$B:$B,$B10)</f>
      </c>
      <c r="D10" s="11">
        <f>COUNTIFS(TC!$B:$B,$B10,TC!$E:$E,"P1")</f>
      </c>
      <c r="E10" s="11">
        <f>COUNTIFS(TC!$B:$B,$B10,TC!$K:$K,"미수행")</f>
      </c>
      <c r="F10" s="11">
        <f>COUNTIFS(TC!$B:$B,$B10,TC!$K:$K,"Pass")</f>
      </c>
      <c r="G10" s="11">
        <f>COUNTIFS(TC!$B:$B,$B10,TC!$K:$K,"Fail")</f>
      </c>
      <c r="H10" s="11">
        <f>COUNTIFS(TC!$B:$B,$B10,TC!$K:$K,"Block")</f>
      </c>
      <c r="I10" s="11">
        <f>COUNTIFS(TC!$B:$B,$B10,TC!$K:$K,"N/A")</f>
      </c>
      <c r="J10" s="12">
        <f>IF(C10=0,0,(C10-E10)/C10)</f>
      </c>
      <c r="K10" s="12">
        <f>IF((C10-E10-I10)=0,0,F10/(C10-E10-I10))</f>
      </c>
    </row>
    <row r="11" spans="2:11" x14ac:dyDescent="0.25">
      <c r="B11" s="10" t="s">
        <v>53</v>
      </c>
      <c r="C11" s="11">
        <f>COUNTIF(TC!$B:$B,$B11)</f>
      </c>
      <c r="D11" s="11">
        <f>COUNTIFS(TC!$B:$B,$B11,TC!$E:$E,"P1")</f>
      </c>
      <c r="E11" s="11">
        <f>COUNTIFS(TC!$B:$B,$B11,TC!$K:$K,"미수행")</f>
      </c>
      <c r="F11" s="11">
        <f>COUNTIFS(TC!$B:$B,$B11,TC!$K:$K,"Pass")</f>
      </c>
      <c r="G11" s="11">
        <f>COUNTIFS(TC!$B:$B,$B11,TC!$K:$K,"Fail")</f>
      </c>
      <c r="H11" s="11">
        <f>COUNTIFS(TC!$B:$B,$B11,TC!$K:$K,"Block")</f>
      </c>
      <c r="I11" s="11">
        <f>COUNTIFS(TC!$B:$B,$B11,TC!$K:$K,"N/A")</f>
      </c>
      <c r="J11" s="12">
        <f>IF(C11=0,0,(C11-E11)/C11)</f>
      </c>
      <c r="K11" s="12">
        <f>IF((C11-E11-I11)=0,0,F11/(C11-E11-I11))</f>
      </c>
    </row>
    <row r="12" spans="2:11" x14ac:dyDescent="0.25">
      <c r="B12" s="10" t="s">
        <v>54</v>
      </c>
      <c r="C12" s="11">
        <f>COUNTIF(TC!$B:$B,$B12)</f>
      </c>
      <c r="D12" s="11">
        <f>COUNTIFS(TC!$B:$B,$B12,TC!$E:$E,"P1")</f>
      </c>
      <c r="E12" s="11">
        <f>COUNTIFS(TC!$B:$B,$B12,TC!$K:$K,"미수행")</f>
      </c>
      <c r="F12" s="11">
        <f>COUNTIFS(TC!$B:$B,$B12,TC!$K:$K,"Pass")</f>
      </c>
      <c r="G12" s="11">
        <f>COUNTIFS(TC!$B:$B,$B12,TC!$K:$K,"Fail")</f>
      </c>
      <c r="H12" s="11">
        <f>COUNTIFS(TC!$B:$B,$B12,TC!$K:$K,"Block")</f>
      </c>
      <c r="I12" s="11">
        <f>COUNTIFS(TC!$B:$B,$B12,TC!$K:$K,"N/A")</f>
      </c>
      <c r="J12" s="12">
        <f>IF(C12=0,0,(C12-E12)/C12)</f>
      </c>
      <c r="K12" s="12">
        <f>IF((C12-E12-I12)=0,0,F12/(C12-E12-I12))</f>
      </c>
    </row>
    <row r="13" spans="2:11" x14ac:dyDescent="0.25">
      <c r="B13" s="10" t="s">
        <v>55</v>
      </c>
      <c r="C13" s="11">
        <f>COUNTIF(TC!$B:$B,$B13)</f>
      </c>
      <c r="D13" s="11">
        <f>COUNTIFS(TC!$B:$B,$B13,TC!$E:$E,"P1")</f>
      </c>
      <c r="E13" s="11">
        <f>COUNTIFS(TC!$B:$B,$B13,TC!$K:$K,"미수행")</f>
      </c>
      <c r="F13" s="11">
        <f>COUNTIFS(TC!$B:$B,$B13,TC!$K:$K,"Pass")</f>
      </c>
      <c r="G13" s="11">
        <f>COUNTIFS(TC!$B:$B,$B13,TC!$K:$K,"Fail")</f>
      </c>
      <c r="H13" s="11">
        <f>COUNTIFS(TC!$B:$B,$B13,TC!$K:$K,"Block")</f>
      </c>
      <c r="I13" s="11">
        <f>COUNTIFS(TC!$B:$B,$B13,TC!$K:$K,"N/A")</f>
      </c>
      <c r="J13" s="12">
        <f>IF(C13=0,0,(C13-E13)/C13)</f>
      </c>
      <c r="K13" s="12">
        <f>IF((C13-E13-I13)=0,0,F13/(C13-E13-I13))</f>
      </c>
    </row>
    <row r="14" spans="2:11" x14ac:dyDescent="0.25">
      <c r="B14" s="13" t="s">
        <v>56</v>
      </c>
      <c r="C14" s="14">
        <f>SUM(C5:C13)</f>
      </c>
      <c r="D14" s="14">
        <f>SUM(D5:D13)</f>
      </c>
      <c r="E14" s="14">
        <f>SUM(E5:E13)</f>
      </c>
      <c r="F14" s="14">
        <f>SUM(F5:F13)</f>
      </c>
      <c r="G14" s="14">
        <f>SUM(G5:G13)</f>
      </c>
      <c r="H14" s="14">
        <f>SUM(H5:H13)</f>
      </c>
      <c r="I14" s="14">
        <f>SUM(I5:I13)</f>
      </c>
      <c r="J14" s="15">
        <f>IF(C14=0,0,(C14-E14)/C14)</f>
      </c>
      <c r="K14" s="15">
        <f>IF((C14-E14-I14)=0,0,F14/(C14-E14-I14))</f>
      </c>
    </row>
    <row r="16" spans="2:2" x14ac:dyDescent="0.25">
      <c r="B16" s="16" t="s">
        <v>57</v>
      </c>
    </row>
    <row r="17" spans="1:5" x14ac:dyDescent="0.25">
      <c r="A17" t="s">
        <v>15</v>
      </c>
      <c r="B17" s="17" t="s">
        <v>58</v>
      </c>
      <c r="C17" s="17" t="s">
        <v>39</v>
      </c>
      <c r="D17" s="17" t="s">
        <v>41</v>
      </c>
      <c r="E17" s="17" t="s">
        <v>42</v>
      </c>
    </row>
    <row r="18" spans="2:5" x14ac:dyDescent="0.25">
      <c r="B18" s="18" t="s">
        <v>16</v>
      </c>
      <c r="C18" s="19">
        <f>COUNTIF(TC!$D:$D,$B18)</f>
      </c>
      <c r="D18" s="19">
        <f>COUNTIFS(TC!$D:$D,$B18,TC!$K:$K,"Pass")</f>
      </c>
      <c r="E18" s="19">
        <f>COUNTIFS(TC!$D:$D,$B18,TC!$K:$K,"Fail")</f>
      </c>
    </row>
    <row r="19" spans="2:5" x14ac:dyDescent="0.25">
      <c r="B19" s="18" t="s">
        <v>18</v>
      </c>
      <c r="C19" s="19">
        <f>COUNTIF(TC!$D:$D,$B19)</f>
      </c>
      <c r="D19" s="19">
        <f>COUNTIFS(TC!$D:$D,$B19,TC!$K:$K,"Pass")</f>
      </c>
      <c r="E19" s="19">
        <f>COUNTIFS(TC!$D:$D,$B19,TC!$K:$K,"Fail")</f>
      </c>
    </row>
    <row r="20" spans="2:5" x14ac:dyDescent="0.25">
      <c r="B20" s="18" t="s">
        <v>20</v>
      </c>
      <c r="C20" s="19">
        <f>COUNTIF(TC!$D:$D,$B20)</f>
      </c>
      <c r="D20" s="19">
        <f>COUNTIFS(TC!$D:$D,$B20,TC!$K:$K,"Pass")</f>
      </c>
      <c r="E20" s="19">
        <f>COUNTIFS(TC!$D:$D,$B20,TC!$K:$K,"Fail")</f>
      </c>
    </row>
    <row r="21" spans="2:5" x14ac:dyDescent="0.25">
      <c r="B21" s="18" t="s">
        <v>22</v>
      </c>
      <c r="C21" s="19">
        <f>COUNTIF(TC!$D:$D,$B21)</f>
      </c>
      <c r="D21" s="19">
        <f>COUNTIFS(TC!$D:$D,$B21,TC!$K:$K,"Pass")</f>
      </c>
      <c r="E21" s="19">
        <f>COUNTIFS(TC!$D:$D,$B21,TC!$K:$K,"Fail")</f>
      </c>
    </row>
    <row r="22" spans="2:5" x14ac:dyDescent="0.25">
      <c r="B22" s="18" t="s">
        <v>24</v>
      </c>
      <c r="C22" s="19">
        <f>COUNTIF(TC!$D:$D,$B22)</f>
      </c>
      <c r="D22" s="19">
        <f>COUNTIFS(TC!$D:$D,$B22,TC!$K:$K,"Pass")</f>
      </c>
      <c r="E22" s="19">
        <f>COUNTIFS(TC!$D:$D,$B22,TC!$K:$K,"Fail")</f>
      </c>
    </row>
    <row r="24" spans="2:2" x14ac:dyDescent="0.25">
      <c r="B24" s="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"/>
  <sheetViews>
    <sheetView workbookViewId="0" zoomScale="9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1" customWidth="1"/>
    <col min="6" max="6" width="36" customWidth="1"/>
    <col min="7" max="7" width="34" customWidth="1"/>
    <col min="8" max="8" width="40" customWidth="1"/>
    <col min="9" max="9" width="56" customWidth="1"/>
    <col min="10" max="10" width="22" customWidth="1"/>
    <col min="11" max="12" width="10" customWidth="1"/>
    <col min="13" max="13" width="12" customWidth="1"/>
    <col min="14" max="14" width="22" customWidth="1"/>
  </cols>
  <sheetData>
    <row r="1" ht="28" customHeight="1" spans="1:14" x14ac:dyDescent="0.25">
      <c r="A1" s="9" t="s">
        <v>60</v>
      </c>
      <c r="B1" s="9" t="s">
        <v>38</v>
      </c>
      <c r="C1" s="9" t="s">
        <v>61</v>
      </c>
      <c r="D1" s="9" t="s">
        <v>58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</row>
    <row r="2" spans="1:14" x14ac:dyDescent="0.25">
      <c r="A2" s="21" t="s">
        <v>72</v>
      </c>
      <c r="B2" s="22" t="s">
        <v>47</v>
      </c>
      <c r="C2" s="22" t="s">
        <v>73</v>
      </c>
      <c r="D2" s="21" t="s">
        <v>16</v>
      </c>
      <c r="E2" s="21" t="s">
        <v>27</v>
      </c>
      <c r="F2" s="22" t="s">
        <v>74</v>
      </c>
      <c r="G2" s="22" t="s">
        <v>75</v>
      </c>
      <c r="H2" s="22" t="s">
        <v>76</v>
      </c>
      <c r="I2" s="22" t="s">
        <v>77</v>
      </c>
      <c r="J2" s="22" t="s">
        <v>78</v>
      </c>
      <c r="K2" s="21" t="s">
        <v>40</v>
      </c>
      <c r="L2" s="22" t="s">
        <v>15</v>
      </c>
      <c r="M2" s="23" t="s">
        <v>15</v>
      </c>
      <c r="N2" s="22" t="s">
        <v>15</v>
      </c>
    </row>
    <row r="3" spans="1:14" x14ac:dyDescent="0.25">
      <c r="A3" s="21" t="s">
        <v>79</v>
      </c>
      <c r="B3" s="22" t="s">
        <v>47</v>
      </c>
      <c r="C3" s="22" t="s">
        <v>73</v>
      </c>
      <c r="D3" s="21" t="s">
        <v>16</v>
      </c>
      <c r="E3" s="21" t="s">
        <v>27</v>
      </c>
      <c r="F3" s="22" t="s">
        <v>80</v>
      </c>
      <c r="G3" s="22" t="s">
        <v>75</v>
      </c>
      <c r="H3" s="22" t="s">
        <v>81</v>
      </c>
      <c r="I3" s="22" t="s">
        <v>82</v>
      </c>
      <c r="J3" s="22" t="s">
        <v>83</v>
      </c>
      <c r="K3" s="21" t="s">
        <v>40</v>
      </c>
      <c r="L3" s="22" t="s">
        <v>15</v>
      </c>
      <c r="M3" s="23" t="s">
        <v>15</v>
      </c>
      <c r="N3" s="22" t="s">
        <v>15</v>
      </c>
    </row>
    <row r="4" spans="1:14" x14ac:dyDescent="0.25">
      <c r="A4" s="21" t="s">
        <v>84</v>
      </c>
      <c r="B4" s="22" t="s">
        <v>47</v>
      </c>
      <c r="C4" s="22" t="s">
        <v>85</v>
      </c>
      <c r="D4" s="21" t="s">
        <v>16</v>
      </c>
      <c r="E4" s="21" t="s">
        <v>29</v>
      </c>
      <c r="F4" s="22" t="s">
        <v>86</v>
      </c>
      <c r="G4" s="22" t="s">
        <v>75</v>
      </c>
      <c r="H4" s="22" t="s">
        <v>87</v>
      </c>
      <c r="I4" s="22" t="s">
        <v>88</v>
      </c>
      <c r="J4" s="22" t="s">
        <v>89</v>
      </c>
      <c r="K4" s="21" t="s">
        <v>40</v>
      </c>
      <c r="L4" s="22" t="s">
        <v>15</v>
      </c>
      <c r="M4" s="23" t="s">
        <v>15</v>
      </c>
      <c r="N4" s="22" t="s">
        <v>15</v>
      </c>
    </row>
    <row r="5" spans="1:14" x14ac:dyDescent="0.25">
      <c r="A5" s="21" t="s">
        <v>90</v>
      </c>
      <c r="B5" s="22" t="s">
        <v>47</v>
      </c>
      <c r="C5" s="22" t="s">
        <v>91</v>
      </c>
      <c r="D5" s="21" t="s">
        <v>16</v>
      </c>
      <c r="E5" s="21" t="s">
        <v>27</v>
      </c>
      <c r="F5" s="22" t="s">
        <v>92</v>
      </c>
      <c r="G5" s="22" t="s">
        <v>93</v>
      </c>
      <c r="H5" s="22" t="s">
        <v>94</v>
      </c>
      <c r="I5" s="22" t="s">
        <v>95</v>
      </c>
      <c r="J5" s="22" t="s">
        <v>96</v>
      </c>
      <c r="K5" s="21" t="s">
        <v>40</v>
      </c>
      <c r="L5" s="22" t="s">
        <v>15</v>
      </c>
      <c r="M5" s="23" t="s">
        <v>15</v>
      </c>
      <c r="N5" s="22" t="s">
        <v>15</v>
      </c>
    </row>
    <row r="6" spans="1:14" x14ac:dyDescent="0.25">
      <c r="A6" s="21" t="s">
        <v>97</v>
      </c>
      <c r="B6" s="22" t="s">
        <v>47</v>
      </c>
      <c r="C6" s="22" t="s">
        <v>91</v>
      </c>
      <c r="D6" s="21" t="s">
        <v>16</v>
      </c>
      <c r="E6" s="21" t="s">
        <v>27</v>
      </c>
      <c r="F6" s="22" t="s">
        <v>98</v>
      </c>
      <c r="G6" s="22" t="s">
        <v>99</v>
      </c>
      <c r="H6" s="22" t="s">
        <v>100</v>
      </c>
      <c r="I6" s="22" t="s">
        <v>101</v>
      </c>
      <c r="J6" s="22" t="s">
        <v>96</v>
      </c>
      <c r="K6" s="21" t="s">
        <v>40</v>
      </c>
      <c r="L6" s="22" t="s">
        <v>15</v>
      </c>
      <c r="M6" s="23" t="s">
        <v>15</v>
      </c>
      <c r="N6" s="22" t="s">
        <v>15</v>
      </c>
    </row>
    <row r="7" spans="1:14" x14ac:dyDescent="0.25">
      <c r="A7" s="21" t="s">
        <v>102</v>
      </c>
      <c r="B7" s="22" t="s">
        <v>47</v>
      </c>
      <c r="C7" s="22" t="s">
        <v>91</v>
      </c>
      <c r="D7" s="21" t="s">
        <v>18</v>
      </c>
      <c r="E7" s="21" t="s">
        <v>29</v>
      </c>
      <c r="F7" s="22" t="s">
        <v>103</v>
      </c>
      <c r="G7" s="22" t="s">
        <v>104</v>
      </c>
      <c r="H7" s="22" t="s">
        <v>105</v>
      </c>
      <c r="I7" s="22" t="s">
        <v>106</v>
      </c>
      <c r="J7" s="22" t="s">
        <v>107</v>
      </c>
      <c r="K7" s="21" t="s">
        <v>40</v>
      </c>
      <c r="L7" s="22" t="s">
        <v>15</v>
      </c>
      <c r="M7" s="23" t="s">
        <v>15</v>
      </c>
      <c r="N7" s="22" t="s">
        <v>15</v>
      </c>
    </row>
    <row r="8" spans="1:14" x14ac:dyDescent="0.25">
      <c r="A8" s="21" t="s">
        <v>108</v>
      </c>
      <c r="B8" s="22" t="s">
        <v>47</v>
      </c>
      <c r="C8" s="22" t="s">
        <v>109</v>
      </c>
      <c r="D8" s="21" t="s">
        <v>16</v>
      </c>
      <c r="E8" s="21" t="s">
        <v>27</v>
      </c>
      <c r="F8" s="22" t="s">
        <v>110</v>
      </c>
      <c r="G8" s="22" t="s">
        <v>75</v>
      </c>
      <c r="H8" s="22" t="s">
        <v>111</v>
      </c>
      <c r="I8" s="22" t="s">
        <v>112</v>
      </c>
      <c r="J8" s="22" t="s">
        <v>113</v>
      </c>
      <c r="K8" s="21" t="s">
        <v>40</v>
      </c>
      <c r="L8" s="22" t="s">
        <v>15</v>
      </c>
      <c r="M8" s="23" t="s">
        <v>15</v>
      </c>
      <c r="N8" s="22" t="s">
        <v>15</v>
      </c>
    </row>
    <row r="9" spans="1:14" x14ac:dyDescent="0.25">
      <c r="A9" s="21" t="s">
        <v>114</v>
      </c>
      <c r="B9" s="22" t="s">
        <v>47</v>
      </c>
      <c r="C9" s="22" t="s">
        <v>115</v>
      </c>
      <c r="D9" s="21" t="s">
        <v>16</v>
      </c>
      <c r="E9" s="21" t="s">
        <v>29</v>
      </c>
      <c r="F9" s="22" t="s">
        <v>116</v>
      </c>
      <c r="G9" s="22" t="s">
        <v>75</v>
      </c>
      <c r="H9" s="22" t="s">
        <v>117</v>
      </c>
      <c r="I9" s="22" t="s">
        <v>118</v>
      </c>
      <c r="J9" s="22" t="s">
        <v>119</v>
      </c>
      <c r="K9" s="21" t="s">
        <v>40</v>
      </c>
      <c r="L9" s="22" t="s">
        <v>15</v>
      </c>
      <c r="M9" s="23" t="s">
        <v>15</v>
      </c>
      <c r="N9" s="22" t="s">
        <v>15</v>
      </c>
    </row>
    <row r="10" spans="1:14" x14ac:dyDescent="0.25">
      <c r="A10" s="21" t="s">
        <v>120</v>
      </c>
      <c r="B10" s="22" t="s">
        <v>48</v>
      </c>
      <c r="C10" s="22" t="s">
        <v>121</v>
      </c>
      <c r="D10" s="21" t="s">
        <v>16</v>
      </c>
      <c r="E10" s="21" t="s">
        <v>27</v>
      </c>
      <c r="F10" s="22" t="s">
        <v>122</v>
      </c>
      <c r="G10" s="22" t="s">
        <v>93</v>
      </c>
      <c r="H10" s="22" t="s">
        <v>123</v>
      </c>
      <c r="I10" s="22" t="s">
        <v>124</v>
      </c>
      <c r="J10" s="22" t="s">
        <v>125</v>
      </c>
      <c r="K10" s="21" t="s">
        <v>40</v>
      </c>
      <c r="L10" s="22" t="s">
        <v>15</v>
      </c>
      <c r="M10" s="23" t="s">
        <v>15</v>
      </c>
      <c r="N10" s="22" t="s">
        <v>15</v>
      </c>
    </row>
    <row r="11" spans="1:14" x14ac:dyDescent="0.25">
      <c r="A11" s="21" t="s">
        <v>126</v>
      </c>
      <c r="B11" s="22" t="s">
        <v>48</v>
      </c>
      <c r="C11" s="22" t="s">
        <v>127</v>
      </c>
      <c r="D11" s="21" t="s">
        <v>16</v>
      </c>
      <c r="E11" s="21" t="s">
        <v>27</v>
      </c>
      <c r="F11" s="22" t="s">
        <v>128</v>
      </c>
      <c r="G11" s="22" t="s">
        <v>93</v>
      </c>
      <c r="H11" s="22" t="s">
        <v>129</v>
      </c>
      <c r="I11" s="22" t="s">
        <v>130</v>
      </c>
      <c r="J11" s="22" t="s">
        <v>131</v>
      </c>
      <c r="K11" s="21" t="s">
        <v>40</v>
      </c>
      <c r="L11" s="22" t="s">
        <v>15</v>
      </c>
      <c r="M11" s="23" t="s">
        <v>15</v>
      </c>
      <c r="N11" s="22" t="s">
        <v>15</v>
      </c>
    </row>
    <row r="12" spans="1:14" x14ac:dyDescent="0.25">
      <c r="A12" s="21" t="s">
        <v>132</v>
      </c>
      <c r="B12" s="22" t="s">
        <v>48</v>
      </c>
      <c r="C12" s="22" t="s">
        <v>127</v>
      </c>
      <c r="D12" s="21" t="s">
        <v>16</v>
      </c>
      <c r="E12" s="21" t="s">
        <v>29</v>
      </c>
      <c r="F12" s="22" t="s">
        <v>133</v>
      </c>
      <c r="G12" s="22" t="s">
        <v>134</v>
      </c>
      <c r="H12" s="22" t="s">
        <v>135</v>
      </c>
      <c r="I12" s="22" t="s">
        <v>136</v>
      </c>
      <c r="J12" s="22" t="s">
        <v>137</v>
      </c>
      <c r="K12" s="21" t="s">
        <v>40</v>
      </c>
      <c r="L12" s="22" t="s">
        <v>15</v>
      </c>
      <c r="M12" s="23" t="s">
        <v>15</v>
      </c>
      <c r="N12" s="22" t="s">
        <v>15</v>
      </c>
    </row>
    <row r="13" spans="1:14" x14ac:dyDescent="0.25">
      <c r="A13" s="21" t="s">
        <v>138</v>
      </c>
      <c r="B13" s="22" t="s">
        <v>48</v>
      </c>
      <c r="C13" s="22" t="s">
        <v>127</v>
      </c>
      <c r="D13" s="21" t="s">
        <v>16</v>
      </c>
      <c r="E13" s="21" t="s">
        <v>31</v>
      </c>
      <c r="F13" s="22" t="s">
        <v>139</v>
      </c>
      <c r="G13" s="22" t="s">
        <v>134</v>
      </c>
      <c r="H13" s="22" t="s">
        <v>140</v>
      </c>
      <c r="I13" s="22" t="s">
        <v>141</v>
      </c>
      <c r="J13" s="22" t="s">
        <v>142</v>
      </c>
      <c r="K13" s="21" t="s">
        <v>40</v>
      </c>
      <c r="L13" s="22" t="s">
        <v>15</v>
      </c>
      <c r="M13" s="23" t="s">
        <v>15</v>
      </c>
      <c r="N13" s="22" t="s">
        <v>15</v>
      </c>
    </row>
    <row r="14" spans="1:14" x14ac:dyDescent="0.25">
      <c r="A14" s="21" t="s">
        <v>143</v>
      </c>
      <c r="B14" s="22" t="s">
        <v>48</v>
      </c>
      <c r="C14" s="22" t="s">
        <v>127</v>
      </c>
      <c r="D14" s="21" t="s">
        <v>18</v>
      </c>
      <c r="E14" s="21" t="s">
        <v>27</v>
      </c>
      <c r="F14" s="22" t="s">
        <v>144</v>
      </c>
      <c r="G14" s="22" t="s">
        <v>134</v>
      </c>
      <c r="H14" s="22" t="s">
        <v>145</v>
      </c>
      <c r="I14" s="22" t="s">
        <v>146</v>
      </c>
      <c r="J14" s="22" t="s">
        <v>147</v>
      </c>
      <c r="K14" s="21" t="s">
        <v>40</v>
      </c>
      <c r="L14" s="22" t="s">
        <v>15</v>
      </c>
      <c r="M14" s="23" t="s">
        <v>15</v>
      </c>
      <c r="N14" s="22" t="s">
        <v>15</v>
      </c>
    </row>
    <row r="15" spans="1:14" x14ac:dyDescent="0.25">
      <c r="A15" s="21" t="s">
        <v>148</v>
      </c>
      <c r="B15" s="22" t="s">
        <v>48</v>
      </c>
      <c r="C15" s="22" t="s">
        <v>127</v>
      </c>
      <c r="D15" s="21" t="s">
        <v>20</v>
      </c>
      <c r="E15" s="21" t="s">
        <v>27</v>
      </c>
      <c r="F15" s="22" t="s">
        <v>149</v>
      </c>
      <c r="G15" s="22" t="s">
        <v>134</v>
      </c>
      <c r="H15" s="22" t="s">
        <v>150</v>
      </c>
      <c r="I15" s="22" t="s">
        <v>151</v>
      </c>
      <c r="J15" s="22" t="s">
        <v>152</v>
      </c>
      <c r="K15" s="21" t="s">
        <v>40</v>
      </c>
      <c r="L15" s="22" t="s">
        <v>15</v>
      </c>
      <c r="M15" s="23" t="s">
        <v>15</v>
      </c>
      <c r="N15" s="22" t="s">
        <v>15</v>
      </c>
    </row>
    <row r="16" spans="1:14" x14ac:dyDescent="0.25">
      <c r="A16" s="21" t="s">
        <v>153</v>
      </c>
      <c r="B16" s="22" t="s">
        <v>48</v>
      </c>
      <c r="C16" s="22" t="s">
        <v>127</v>
      </c>
      <c r="D16" s="21" t="s">
        <v>16</v>
      </c>
      <c r="E16" s="21" t="s">
        <v>27</v>
      </c>
      <c r="F16" s="22" t="s">
        <v>154</v>
      </c>
      <c r="G16" s="22" t="s">
        <v>134</v>
      </c>
      <c r="H16" s="22" t="s">
        <v>155</v>
      </c>
      <c r="I16" s="22" t="s">
        <v>156</v>
      </c>
      <c r="J16" s="22" t="s">
        <v>157</v>
      </c>
      <c r="K16" s="21" t="s">
        <v>40</v>
      </c>
      <c r="L16" s="22" t="s">
        <v>15</v>
      </c>
      <c r="M16" s="23" t="s">
        <v>15</v>
      </c>
      <c r="N16" s="22" t="s">
        <v>15</v>
      </c>
    </row>
    <row r="17" spans="1:14" x14ac:dyDescent="0.25">
      <c r="A17" s="21" t="s">
        <v>158</v>
      </c>
      <c r="B17" s="22" t="s">
        <v>48</v>
      </c>
      <c r="C17" s="22" t="s">
        <v>127</v>
      </c>
      <c r="D17" s="21" t="s">
        <v>18</v>
      </c>
      <c r="E17" s="21" t="s">
        <v>29</v>
      </c>
      <c r="F17" s="22" t="s">
        <v>159</v>
      </c>
      <c r="G17" s="22" t="s">
        <v>134</v>
      </c>
      <c r="H17" s="22" t="s">
        <v>160</v>
      </c>
      <c r="I17" s="22" t="s">
        <v>161</v>
      </c>
      <c r="J17" s="22" t="s">
        <v>162</v>
      </c>
      <c r="K17" s="21" t="s">
        <v>40</v>
      </c>
      <c r="L17" s="22" t="s">
        <v>15</v>
      </c>
      <c r="M17" s="23" t="s">
        <v>15</v>
      </c>
      <c r="N17" s="22" t="s">
        <v>15</v>
      </c>
    </row>
    <row r="18" spans="1:14" x14ac:dyDescent="0.25">
      <c r="A18" s="21" t="s">
        <v>163</v>
      </c>
      <c r="B18" s="22" t="s">
        <v>48</v>
      </c>
      <c r="C18" s="22" t="s">
        <v>127</v>
      </c>
      <c r="D18" s="21" t="s">
        <v>18</v>
      </c>
      <c r="E18" s="21" t="s">
        <v>29</v>
      </c>
      <c r="F18" s="22" t="s">
        <v>164</v>
      </c>
      <c r="G18" s="22" t="s">
        <v>165</v>
      </c>
      <c r="H18" s="22" t="s">
        <v>166</v>
      </c>
      <c r="I18" s="22" t="s">
        <v>167</v>
      </c>
      <c r="J18" s="22" t="s">
        <v>168</v>
      </c>
      <c r="K18" s="21" t="s">
        <v>40</v>
      </c>
      <c r="L18" s="22" t="s">
        <v>15</v>
      </c>
      <c r="M18" s="23" t="s">
        <v>15</v>
      </c>
      <c r="N18" s="22" t="s">
        <v>15</v>
      </c>
    </row>
    <row r="19" spans="1:14" x14ac:dyDescent="0.25">
      <c r="A19" s="21" t="s">
        <v>169</v>
      </c>
      <c r="B19" s="22" t="s">
        <v>49</v>
      </c>
      <c r="C19" s="22" t="s">
        <v>170</v>
      </c>
      <c r="D19" s="21" t="s">
        <v>16</v>
      </c>
      <c r="E19" s="21" t="s">
        <v>27</v>
      </c>
      <c r="F19" s="22" t="s">
        <v>171</v>
      </c>
      <c r="G19" s="22" t="s">
        <v>172</v>
      </c>
      <c r="H19" s="22" t="s">
        <v>173</v>
      </c>
      <c r="I19" s="22" t="s">
        <v>174</v>
      </c>
      <c r="J19" s="22" t="s">
        <v>175</v>
      </c>
      <c r="K19" s="21" t="s">
        <v>40</v>
      </c>
      <c r="L19" s="22" t="s">
        <v>15</v>
      </c>
      <c r="M19" s="23" t="s">
        <v>15</v>
      </c>
      <c r="N19" s="22" t="s">
        <v>15</v>
      </c>
    </row>
    <row r="20" spans="1:14" x14ac:dyDescent="0.25">
      <c r="A20" s="21" t="s">
        <v>176</v>
      </c>
      <c r="B20" s="22" t="s">
        <v>49</v>
      </c>
      <c r="C20" s="22" t="s">
        <v>177</v>
      </c>
      <c r="D20" s="21" t="s">
        <v>16</v>
      </c>
      <c r="E20" s="21" t="s">
        <v>27</v>
      </c>
      <c r="F20" s="22" t="s">
        <v>178</v>
      </c>
      <c r="G20" s="22" t="s">
        <v>179</v>
      </c>
      <c r="H20" s="22" t="s">
        <v>180</v>
      </c>
      <c r="I20" s="22" t="s">
        <v>181</v>
      </c>
      <c r="J20" s="22" t="s">
        <v>182</v>
      </c>
      <c r="K20" s="21" t="s">
        <v>40</v>
      </c>
      <c r="L20" s="22" t="s">
        <v>15</v>
      </c>
      <c r="M20" s="23" t="s">
        <v>15</v>
      </c>
      <c r="N20" s="22" t="s">
        <v>15</v>
      </c>
    </row>
    <row r="21" spans="1:14" x14ac:dyDescent="0.25">
      <c r="A21" s="21" t="s">
        <v>183</v>
      </c>
      <c r="B21" s="22" t="s">
        <v>49</v>
      </c>
      <c r="C21" s="22" t="s">
        <v>177</v>
      </c>
      <c r="D21" s="21" t="s">
        <v>16</v>
      </c>
      <c r="E21" s="21" t="s">
        <v>27</v>
      </c>
      <c r="F21" s="22" t="s">
        <v>184</v>
      </c>
      <c r="G21" s="22" t="s">
        <v>185</v>
      </c>
      <c r="H21" s="22" t="s">
        <v>186</v>
      </c>
      <c r="I21" s="22" t="s">
        <v>187</v>
      </c>
      <c r="J21" s="22" t="s">
        <v>188</v>
      </c>
      <c r="K21" s="21" t="s">
        <v>40</v>
      </c>
      <c r="L21" s="22" t="s">
        <v>15</v>
      </c>
      <c r="M21" s="23" t="s">
        <v>15</v>
      </c>
      <c r="N21" s="22" t="s">
        <v>15</v>
      </c>
    </row>
    <row r="22" spans="1:14" x14ac:dyDescent="0.25">
      <c r="A22" s="21" t="s">
        <v>189</v>
      </c>
      <c r="B22" s="22" t="s">
        <v>49</v>
      </c>
      <c r="C22" s="22" t="s">
        <v>190</v>
      </c>
      <c r="D22" s="21" t="s">
        <v>18</v>
      </c>
      <c r="E22" s="21" t="s">
        <v>27</v>
      </c>
      <c r="F22" s="22" t="s">
        <v>191</v>
      </c>
      <c r="G22" s="22" t="s">
        <v>172</v>
      </c>
      <c r="H22" s="22" t="s">
        <v>192</v>
      </c>
      <c r="I22" s="22" t="s">
        <v>193</v>
      </c>
      <c r="J22" s="22" t="s">
        <v>194</v>
      </c>
      <c r="K22" s="21" t="s">
        <v>40</v>
      </c>
      <c r="L22" s="22" t="s">
        <v>15</v>
      </c>
      <c r="M22" s="23" t="s">
        <v>15</v>
      </c>
      <c r="N22" s="22" t="s">
        <v>15</v>
      </c>
    </row>
    <row r="23" spans="1:14" x14ac:dyDescent="0.25">
      <c r="A23" s="21" t="s">
        <v>195</v>
      </c>
      <c r="B23" s="22" t="s">
        <v>49</v>
      </c>
      <c r="C23" s="22" t="s">
        <v>190</v>
      </c>
      <c r="D23" s="21" t="s">
        <v>16</v>
      </c>
      <c r="E23" s="21" t="s">
        <v>27</v>
      </c>
      <c r="F23" s="22" t="s">
        <v>196</v>
      </c>
      <c r="G23" s="22" t="s">
        <v>172</v>
      </c>
      <c r="H23" s="22" t="s">
        <v>197</v>
      </c>
      <c r="I23" s="22" t="s">
        <v>198</v>
      </c>
      <c r="J23" s="22" t="s">
        <v>199</v>
      </c>
      <c r="K23" s="21" t="s">
        <v>40</v>
      </c>
      <c r="L23" s="22" t="s">
        <v>15</v>
      </c>
      <c r="M23" s="23" t="s">
        <v>15</v>
      </c>
      <c r="N23" s="22" t="s">
        <v>15</v>
      </c>
    </row>
    <row r="24" spans="1:14" x14ac:dyDescent="0.25">
      <c r="A24" s="21" t="s">
        <v>200</v>
      </c>
      <c r="B24" s="22" t="s">
        <v>49</v>
      </c>
      <c r="C24" s="22" t="s">
        <v>201</v>
      </c>
      <c r="D24" s="21" t="s">
        <v>18</v>
      </c>
      <c r="E24" s="21" t="s">
        <v>27</v>
      </c>
      <c r="F24" s="22" t="s">
        <v>202</v>
      </c>
      <c r="G24" s="22" t="s">
        <v>203</v>
      </c>
      <c r="H24" s="22" t="s">
        <v>204</v>
      </c>
      <c r="I24" s="22" t="s">
        <v>205</v>
      </c>
      <c r="J24" s="22" t="s">
        <v>206</v>
      </c>
      <c r="K24" s="21" t="s">
        <v>40</v>
      </c>
      <c r="L24" s="22" t="s">
        <v>15</v>
      </c>
      <c r="M24" s="23" t="s">
        <v>15</v>
      </c>
      <c r="N24" s="22" t="s">
        <v>15</v>
      </c>
    </row>
    <row r="25" spans="1:14" x14ac:dyDescent="0.25">
      <c r="A25" s="21" t="s">
        <v>207</v>
      </c>
      <c r="B25" s="22" t="s">
        <v>49</v>
      </c>
      <c r="C25" s="22" t="s">
        <v>201</v>
      </c>
      <c r="D25" s="21" t="s">
        <v>22</v>
      </c>
      <c r="E25" s="21" t="s">
        <v>27</v>
      </c>
      <c r="F25" s="22" t="s">
        <v>208</v>
      </c>
      <c r="G25" s="22" t="s">
        <v>172</v>
      </c>
      <c r="H25" s="22" t="s">
        <v>209</v>
      </c>
      <c r="I25" s="22" t="s">
        <v>210</v>
      </c>
      <c r="J25" s="22" t="s">
        <v>211</v>
      </c>
      <c r="K25" s="21" t="s">
        <v>40</v>
      </c>
      <c r="L25" s="22" t="s">
        <v>15</v>
      </c>
      <c r="M25" s="23" t="s">
        <v>15</v>
      </c>
      <c r="N25" s="22" t="s">
        <v>15</v>
      </c>
    </row>
    <row r="26" spans="1:14" x14ac:dyDescent="0.25">
      <c r="A26" s="21" t="s">
        <v>212</v>
      </c>
      <c r="B26" s="22" t="s">
        <v>49</v>
      </c>
      <c r="C26" s="22" t="s">
        <v>213</v>
      </c>
      <c r="D26" s="21" t="s">
        <v>16</v>
      </c>
      <c r="E26" s="21" t="s">
        <v>31</v>
      </c>
      <c r="F26" s="22" t="s">
        <v>214</v>
      </c>
      <c r="G26" s="22" t="s">
        <v>215</v>
      </c>
      <c r="H26" s="22" t="s">
        <v>216</v>
      </c>
      <c r="I26" s="22" t="s">
        <v>217</v>
      </c>
      <c r="J26" s="22" t="s">
        <v>218</v>
      </c>
      <c r="K26" s="21" t="s">
        <v>40</v>
      </c>
      <c r="L26" s="22" t="s">
        <v>15</v>
      </c>
      <c r="M26" s="23" t="s">
        <v>15</v>
      </c>
      <c r="N26" s="22" t="s">
        <v>15</v>
      </c>
    </row>
    <row r="27" spans="1:14" x14ac:dyDescent="0.25">
      <c r="A27" s="21" t="s">
        <v>219</v>
      </c>
      <c r="B27" s="22" t="s">
        <v>49</v>
      </c>
      <c r="C27" s="22" t="s">
        <v>220</v>
      </c>
      <c r="D27" s="21" t="s">
        <v>16</v>
      </c>
      <c r="E27" s="21" t="s">
        <v>29</v>
      </c>
      <c r="F27" s="22" t="s">
        <v>221</v>
      </c>
      <c r="G27" s="22" t="s">
        <v>179</v>
      </c>
      <c r="H27" s="22" t="s">
        <v>222</v>
      </c>
      <c r="I27" s="22" t="s">
        <v>223</v>
      </c>
      <c r="J27" s="22" t="s">
        <v>224</v>
      </c>
      <c r="K27" s="21" t="s">
        <v>40</v>
      </c>
      <c r="L27" s="22" t="s">
        <v>15</v>
      </c>
      <c r="M27" s="23" t="s">
        <v>15</v>
      </c>
      <c r="N27" s="22" t="s">
        <v>15</v>
      </c>
    </row>
    <row r="28" spans="1:14" x14ac:dyDescent="0.25">
      <c r="A28" s="21" t="s">
        <v>225</v>
      </c>
      <c r="B28" s="22" t="s">
        <v>50</v>
      </c>
      <c r="C28" s="22" t="s">
        <v>226</v>
      </c>
      <c r="D28" s="21" t="s">
        <v>16</v>
      </c>
      <c r="E28" s="21" t="s">
        <v>27</v>
      </c>
      <c r="F28" s="22" t="s">
        <v>227</v>
      </c>
      <c r="G28" s="22" t="s">
        <v>228</v>
      </c>
      <c r="H28" s="22" t="s">
        <v>229</v>
      </c>
      <c r="I28" s="22" t="s">
        <v>230</v>
      </c>
      <c r="J28" s="22" t="s">
        <v>231</v>
      </c>
      <c r="K28" s="21" t="s">
        <v>40</v>
      </c>
      <c r="L28" s="22" t="s">
        <v>15</v>
      </c>
      <c r="M28" s="23" t="s">
        <v>15</v>
      </c>
      <c r="N28" s="22" t="s">
        <v>15</v>
      </c>
    </row>
    <row r="29" spans="1:14" x14ac:dyDescent="0.25">
      <c r="A29" s="21" t="s">
        <v>232</v>
      </c>
      <c r="B29" s="22" t="s">
        <v>50</v>
      </c>
      <c r="C29" s="22" t="s">
        <v>233</v>
      </c>
      <c r="D29" s="21" t="s">
        <v>20</v>
      </c>
      <c r="E29" s="21" t="s">
        <v>27</v>
      </c>
      <c r="F29" s="22" t="s">
        <v>234</v>
      </c>
      <c r="G29" s="22" t="s">
        <v>235</v>
      </c>
      <c r="H29" s="22" t="s">
        <v>236</v>
      </c>
      <c r="I29" s="22" t="s">
        <v>237</v>
      </c>
      <c r="J29" s="22" t="s">
        <v>238</v>
      </c>
      <c r="K29" s="21" t="s">
        <v>40</v>
      </c>
      <c r="L29" s="22" t="s">
        <v>15</v>
      </c>
      <c r="M29" s="23" t="s">
        <v>15</v>
      </c>
      <c r="N29" s="22" t="s">
        <v>15</v>
      </c>
    </row>
    <row r="30" spans="1:14" x14ac:dyDescent="0.25">
      <c r="A30" s="21" t="s">
        <v>239</v>
      </c>
      <c r="B30" s="22" t="s">
        <v>50</v>
      </c>
      <c r="C30" s="22" t="s">
        <v>233</v>
      </c>
      <c r="D30" s="21" t="s">
        <v>16</v>
      </c>
      <c r="E30" s="21" t="s">
        <v>29</v>
      </c>
      <c r="F30" s="22" t="s">
        <v>240</v>
      </c>
      <c r="G30" s="22" t="s">
        <v>228</v>
      </c>
      <c r="H30" s="22" t="s">
        <v>241</v>
      </c>
      <c r="I30" s="22" t="s">
        <v>242</v>
      </c>
      <c r="J30" s="22" t="s">
        <v>243</v>
      </c>
      <c r="K30" s="21" t="s">
        <v>40</v>
      </c>
      <c r="L30" s="22" t="s">
        <v>15</v>
      </c>
      <c r="M30" s="23" t="s">
        <v>15</v>
      </c>
      <c r="N30" s="22" t="s">
        <v>15</v>
      </c>
    </row>
    <row r="31" spans="1:14" x14ac:dyDescent="0.25">
      <c r="A31" s="21" t="s">
        <v>244</v>
      </c>
      <c r="B31" s="22" t="s">
        <v>50</v>
      </c>
      <c r="C31" s="22" t="s">
        <v>233</v>
      </c>
      <c r="D31" s="21" t="s">
        <v>18</v>
      </c>
      <c r="E31" s="21" t="s">
        <v>31</v>
      </c>
      <c r="F31" s="22" t="s">
        <v>245</v>
      </c>
      <c r="G31" s="22" t="s">
        <v>246</v>
      </c>
      <c r="H31" s="22" t="s">
        <v>247</v>
      </c>
      <c r="I31" s="22" t="s">
        <v>248</v>
      </c>
      <c r="J31" s="22" t="s">
        <v>249</v>
      </c>
      <c r="K31" s="21" t="s">
        <v>40</v>
      </c>
      <c r="L31" s="22" t="s">
        <v>15</v>
      </c>
      <c r="M31" s="23" t="s">
        <v>15</v>
      </c>
      <c r="N31" s="22" t="s">
        <v>15</v>
      </c>
    </row>
    <row r="32" spans="1:14" x14ac:dyDescent="0.25">
      <c r="A32" s="21" t="s">
        <v>250</v>
      </c>
      <c r="B32" s="22" t="s">
        <v>50</v>
      </c>
      <c r="C32" s="22" t="s">
        <v>251</v>
      </c>
      <c r="D32" s="21" t="s">
        <v>16</v>
      </c>
      <c r="E32" s="21" t="s">
        <v>27</v>
      </c>
      <c r="F32" s="22" t="s">
        <v>252</v>
      </c>
      <c r="G32" s="22" t="s">
        <v>228</v>
      </c>
      <c r="H32" s="22" t="s">
        <v>253</v>
      </c>
      <c r="I32" s="22" t="s">
        <v>254</v>
      </c>
      <c r="J32" s="22" t="s">
        <v>255</v>
      </c>
      <c r="K32" s="21" t="s">
        <v>40</v>
      </c>
      <c r="L32" s="22" t="s">
        <v>15</v>
      </c>
      <c r="M32" s="23" t="s">
        <v>15</v>
      </c>
      <c r="N32" s="22" t="s">
        <v>15</v>
      </c>
    </row>
    <row r="33" spans="1:14" x14ac:dyDescent="0.25">
      <c r="A33" s="21" t="s">
        <v>256</v>
      </c>
      <c r="B33" s="22" t="s">
        <v>50</v>
      </c>
      <c r="C33" s="22" t="s">
        <v>251</v>
      </c>
      <c r="D33" s="21" t="s">
        <v>16</v>
      </c>
      <c r="E33" s="21" t="s">
        <v>31</v>
      </c>
      <c r="F33" s="22" t="s">
        <v>257</v>
      </c>
      <c r="G33" s="22" t="s">
        <v>258</v>
      </c>
      <c r="H33" s="22" t="s">
        <v>259</v>
      </c>
      <c r="I33" s="22" t="s">
        <v>260</v>
      </c>
      <c r="J33" s="22" t="s">
        <v>261</v>
      </c>
      <c r="K33" s="21" t="s">
        <v>40</v>
      </c>
      <c r="L33" s="22" t="s">
        <v>15</v>
      </c>
      <c r="M33" s="23" t="s">
        <v>15</v>
      </c>
      <c r="N33" s="22" t="s">
        <v>15</v>
      </c>
    </row>
    <row r="34" spans="1:14" x14ac:dyDescent="0.25">
      <c r="A34" s="21" t="s">
        <v>262</v>
      </c>
      <c r="B34" s="22" t="s">
        <v>50</v>
      </c>
      <c r="C34" s="22" t="s">
        <v>263</v>
      </c>
      <c r="D34" s="21" t="s">
        <v>16</v>
      </c>
      <c r="E34" s="21" t="s">
        <v>29</v>
      </c>
      <c r="F34" s="22" t="s">
        <v>264</v>
      </c>
      <c r="G34" s="22" t="s">
        <v>265</v>
      </c>
      <c r="H34" s="22" t="s">
        <v>266</v>
      </c>
      <c r="I34" s="22" t="s">
        <v>267</v>
      </c>
      <c r="J34" s="22" t="s">
        <v>268</v>
      </c>
      <c r="K34" s="21" t="s">
        <v>40</v>
      </c>
      <c r="L34" s="22" t="s">
        <v>15</v>
      </c>
      <c r="M34" s="23" t="s">
        <v>15</v>
      </c>
      <c r="N34" s="22" t="s">
        <v>15</v>
      </c>
    </row>
    <row r="35" spans="1:14" x14ac:dyDescent="0.25">
      <c r="A35" s="21" t="s">
        <v>269</v>
      </c>
      <c r="B35" s="22" t="s">
        <v>50</v>
      </c>
      <c r="C35" s="22" t="s">
        <v>270</v>
      </c>
      <c r="D35" s="21" t="s">
        <v>16</v>
      </c>
      <c r="E35" s="21" t="s">
        <v>27</v>
      </c>
      <c r="F35" s="22" t="s">
        <v>271</v>
      </c>
      <c r="G35" s="22" t="s">
        <v>272</v>
      </c>
      <c r="H35" s="22" t="s">
        <v>273</v>
      </c>
      <c r="I35" s="22" t="s">
        <v>274</v>
      </c>
      <c r="J35" s="22" t="s">
        <v>275</v>
      </c>
      <c r="K35" s="21" t="s">
        <v>40</v>
      </c>
      <c r="L35" s="22" t="s">
        <v>15</v>
      </c>
      <c r="M35" s="23" t="s">
        <v>15</v>
      </c>
      <c r="N35" s="22" t="s">
        <v>15</v>
      </c>
    </row>
    <row r="36" spans="1:14" x14ac:dyDescent="0.25">
      <c r="A36" s="21" t="s">
        <v>276</v>
      </c>
      <c r="B36" s="22" t="s">
        <v>50</v>
      </c>
      <c r="C36" s="22" t="s">
        <v>270</v>
      </c>
      <c r="D36" s="21" t="s">
        <v>24</v>
      </c>
      <c r="E36" s="21" t="s">
        <v>27</v>
      </c>
      <c r="F36" s="22" t="s">
        <v>277</v>
      </c>
      <c r="G36" s="22" t="s">
        <v>278</v>
      </c>
      <c r="H36" s="22" t="s">
        <v>279</v>
      </c>
      <c r="I36" s="22" t="s">
        <v>280</v>
      </c>
      <c r="J36" s="22" t="s">
        <v>275</v>
      </c>
      <c r="K36" s="21" t="s">
        <v>40</v>
      </c>
      <c r="L36" s="22" t="s">
        <v>15</v>
      </c>
      <c r="M36" s="23" t="s">
        <v>15</v>
      </c>
      <c r="N36" s="22" t="s">
        <v>15</v>
      </c>
    </row>
    <row r="37" spans="1:14" x14ac:dyDescent="0.25">
      <c r="A37" s="21" t="s">
        <v>281</v>
      </c>
      <c r="B37" s="22" t="s">
        <v>50</v>
      </c>
      <c r="C37" s="22" t="s">
        <v>282</v>
      </c>
      <c r="D37" s="21" t="s">
        <v>16</v>
      </c>
      <c r="E37" s="21" t="s">
        <v>27</v>
      </c>
      <c r="F37" s="22" t="s">
        <v>283</v>
      </c>
      <c r="G37" s="22" t="s">
        <v>228</v>
      </c>
      <c r="H37" s="22" t="s">
        <v>284</v>
      </c>
      <c r="I37" s="22" t="s">
        <v>285</v>
      </c>
      <c r="J37" s="22" t="s">
        <v>286</v>
      </c>
      <c r="K37" s="21" t="s">
        <v>40</v>
      </c>
      <c r="L37" s="22" t="s">
        <v>15</v>
      </c>
      <c r="M37" s="23" t="s">
        <v>15</v>
      </c>
      <c r="N37" s="22" t="s">
        <v>15</v>
      </c>
    </row>
    <row r="38" spans="1:14" x14ac:dyDescent="0.25">
      <c r="A38" s="21" t="s">
        <v>287</v>
      </c>
      <c r="B38" s="22" t="s">
        <v>50</v>
      </c>
      <c r="C38" s="22" t="s">
        <v>282</v>
      </c>
      <c r="D38" s="21" t="s">
        <v>16</v>
      </c>
      <c r="E38" s="21" t="s">
        <v>27</v>
      </c>
      <c r="F38" s="22" t="s">
        <v>288</v>
      </c>
      <c r="G38" s="22" t="s">
        <v>289</v>
      </c>
      <c r="H38" s="22" t="s">
        <v>290</v>
      </c>
      <c r="I38" s="22" t="s">
        <v>291</v>
      </c>
      <c r="J38" s="22" t="s">
        <v>292</v>
      </c>
      <c r="K38" s="21" t="s">
        <v>40</v>
      </c>
      <c r="L38" s="22" t="s">
        <v>15</v>
      </c>
      <c r="M38" s="23" t="s">
        <v>15</v>
      </c>
      <c r="N38" s="22" t="s">
        <v>15</v>
      </c>
    </row>
    <row r="39" spans="1:14" x14ac:dyDescent="0.25">
      <c r="A39" s="21" t="s">
        <v>293</v>
      </c>
      <c r="B39" s="22" t="s">
        <v>50</v>
      </c>
      <c r="C39" s="22" t="s">
        <v>282</v>
      </c>
      <c r="D39" s="21" t="s">
        <v>16</v>
      </c>
      <c r="E39" s="21" t="s">
        <v>29</v>
      </c>
      <c r="F39" s="22" t="s">
        <v>294</v>
      </c>
      <c r="G39" s="22" t="s">
        <v>295</v>
      </c>
      <c r="H39" s="22" t="s">
        <v>296</v>
      </c>
      <c r="I39" s="22" t="s">
        <v>297</v>
      </c>
      <c r="J39" s="22" t="s">
        <v>298</v>
      </c>
      <c r="K39" s="21" t="s">
        <v>40</v>
      </c>
      <c r="L39" s="22" t="s">
        <v>15</v>
      </c>
      <c r="M39" s="23" t="s">
        <v>15</v>
      </c>
      <c r="N39" s="22" t="s">
        <v>15</v>
      </c>
    </row>
    <row r="40" spans="1:14" x14ac:dyDescent="0.25">
      <c r="A40" s="21" t="s">
        <v>299</v>
      </c>
      <c r="B40" s="22" t="s">
        <v>50</v>
      </c>
      <c r="C40" s="22" t="s">
        <v>282</v>
      </c>
      <c r="D40" s="21" t="s">
        <v>20</v>
      </c>
      <c r="E40" s="21" t="s">
        <v>29</v>
      </c>
      <c r="F40" s="22" t="s">
        <v>300</v>
      </c>
      <c r="G40" s="22" t="s">
        <v>228</v>
      </c>
      <c r="H40" s="22" t="s">
        <v>301</v>
      </c>
      <c r="I40" s="22" t="s">
        <v>302</v>
      </c>
      <c r="J40" s="22" t="s">
        <v>303</v>
      </c>
      <c r="K40" s="21" t="s">
        <v>40</v>
      </c>
      <c r="L40" s="22" t="s">
        <v>15</v>
      </c>
      <c r="M40" s="23" t="s">
        <v>15</v>
      </c>
      <c r="N40" s="22" t="s">
        <v>15</v>
      </c>
    </row>
    <row r="41" spans="1:14" x14ac:dyDescent="0.25">
      <c r="A41" s="21" t="s">
        <v>304</v>
      </c>
      <c r="B41" s="22" t="s">
        <v>50</v>
      </c>
      <c r="C41" s="22" t="s">
        <v>305</v>
      </c>
      <c r="D41" s="21" t="s">
        <v>16</v>
      </c>
      <c r="E41" s="21" t="s">
        <v>27</v>
      </c>
      <c r="F41" s="22" t="s">
        <v>306</v>
      </c>
      <c r="G41" s="22" t="s">
        <v>228</v>
      </c>
      <c r="H41" s="22" t="s">
        <v>307</v>
      </c>
      <c r="I41" s="22" t="s">
        <v>308</v>
      </c>
      <c r="J41" s="22" t="s">
        <v>309</v>
      </c>
      <c r="K41" s="21" t="s">
        <v>40</v>
      </c>
      <c r="L41" s="22" t="s">
        <v>15</v>
      </c>
      <c r="M41" s="23" t="s">
        <v>15</v>
      </c>
      <c r="N41" s="22" t="s">
        <v>15</v>
      </c>
    </row>
    <row r="42" spans="1:14" x14ac:dyDescent="0.25">
      <c r="A42" s="21" t="s">
        <v>310</v>
      </c>
      <c r="B42" s="22" t="s">
        <v>50</v>
      </c>
      <c r="C42" s="22" t="s">
        <v>305</v>
      </c>
      <c r="D42" s="21" t="s">
        <v>18</v>
      </c>
      <c r="E42" s="21" t="s">
        <v>29</v>
      </c>
      <c r="F42" s="22" t="s">
        <v>311</v>
      </c>
      <c r="G42" s="22" t="s">
        <v>228</v>
      </c>
      <c r="H42" s="22" t="s">
        <v>312</v>
      </c>
      <c r="I42" s="22" t="s">
        <v>313</v>
      </c>
      <c r="J42" s="22" t="s">
        <v>314</v>
      </c>
      <c r="K42" s="21" t="s">
        <v>40</v>
      </c>
      <c r="L42" s="22" t="s">
        <v>15</v>
      </c>
      <c r="M42" s="23" t="s">
        <v>15</v>
      </c>
      <c r="N42" s="22" t="s">
        <v>15</v>
      </c>
    </row>
    <row r="43" spans="1:14" x14ac:dyDescent="0.25">
      <c r="A43" s="21" t="s">
        <v>315</v>
      </c>
      <c r="B43" s="22" t="s">
        <v>50</v>
      </c>
      <c r="C43" s="22" t="s">
        <v>305</v>
      </c>
      <c r="D43" s="21" t="s">
        <v>18</v>
      </c>
      <c r="E43" s="21" t="s">
        <v>29</v>
      </c>
      <c r="F43" s="22" t="s">
        <v>316</v>
      </c>
      <c r="G43" s="22" t="s">
        <v>228</v>
      </c>
      <c r="H43" s="22" t="s">
        <v>160</v>
      </c>
      <c r="I43" s="22" t="s">
        <v>317</v>
      </c>
      <c r="J43" s="22" t="s">
        <v>318</v>
      </c>
      <c r="K43" s="21" t="s">
        <v>40</v>
      </c>
      <c r="L43" s="22" t="s">
        <v>15</v>
      </c>
      <c r="M43" s="23" t="s">
        <v>15</v>
      </c>
      <c r="N43" s="22" t="s">
        <v>15</v>
      </c>
    </row>
    <row r="44" spans="1:14" x14ac:dyDescent="0.25">
      <c r="A44" s="21" t="s">
        <v>319</v>
      </c>
      <c r="B44" s="22" t="s">
        <v>50</v>
      </c>
      <c r="C44" s="22" t="s">
        <v>305</v>
      </c>
      <c r="D44" s="21" t="s">
        <v>16</v>
      </c>
      <c r="E44" s="21" t="s">
        <v>27</v>
      </c>
      <c r="F44" s="22" t="s">
        <v>320</v>
      </c>
      <c r="G44" s="22" t="s">
        <v>321</v>
      </c>
      <c r="H44" s="22" t="s">
        <v>322</v>
      </c>
      <c r="I44" s="22" t="s">
        <v>323</v>
      </c>
      <c r="J44" s="22" t="s">
        <v>324</v>
      </c>
      <c r="K44" s="21" t="s">
        <v>40</v>
      </c>
      <c r="L44" s="22" t="s">
        <v>15</v>
      </c>
      <c r="M44" s="23" t="s">
        <v>15</v>
      </c>
      <c r="N44" s="22" t="s">
        <v>15</v>
      </c>
    </row>
    <row r="45" spans="1:14" x14ac:dyDescent="0.25">
      <c r="A45" s="21" t="s">
        <v>325</v>
      </c>
      <c r="B45" s="22" t="s">
        <v>50</v>
      </c>
      <c r="C45" s="22" t="s">
        <v>305</v>
      </c>
      <c r="D45" s="21" t="s">
        <v>16</v>
      </c>
      <c r="E45" s="21" t="s">
        <v>29</v>
      </c>
      <c r="F45" s="22" t="s">
        <v>326</v>
      </c>
      <c r="G45" s="22" t="s">
        <v>321</v>
      </c>
      <c r="H45" s="22" t="s">
        <v>327</v>
      </c>
      <c r="I45" s="22" t="s">
        <v>328</v>
      </c>
      <c r="J45" s="22" t="s">
        <v>303</v>
      </c>
      <c r="K45" s="21" t="s">
        <v>40</v>
      </c>
      <c r="L45" s="22" t="s">
        <v>15</v>
      </c>
      <c r="M45" s="23" t="s">
        <v>15</v>
      </c>
      <c r="N45" s="22" t="s">
        <v>15</v>
      </c>
    </row>
    <row r="46" spans="1:14" x14ac:dyDescent="0.25">
      <c r="A46" s="21" t="s">
        <v>329</v>
      </c>
      <c r="B46" s="22" t="s">
        <v>50</v>
      </c>
      <c r="C46" s="22" t="s">
        <v>330</v>
      </c>
      <c r="D46" s="21" t="s">
        <v>16</v>
      </c>
      <c r="E46" s="21" t="s">
        <v>27</v>
      </c>
      <c r="F46" s="22" t="s">
        <v>331</v>
      </c>
      <c r="G46" s="22" t="s">
        <v>332</v>
      </c>
      <c r="H46" s="22" t="s">
        <v>333</v>
      </c>
      <c r="I46" s="22" t="s">
        <v>334</v>
      </c>
      <c r="J46" s="22" t="s">
        <v>335</v>
      </c>
      <c r="K46" s="21" t="s">
        <v>40</v>
      </c>
      <c r="L46" s="22" t="s">
        <v>15</v>
      </c>
      <c r="M46" s="23" t="s">
        <v>15</v>
      </c>
      <c r="N46" s="22" t="s">
        <v>15</v>
      </c>
    </row>
    <row r="47" spans="1:14" x14ac:dyDescent="0.25">
      <c r="A47" s="21" t="s">
        <v>336</v>
      </c>
      <c r="B47" s="22" t="s">
        <v>50</v>
      </c>
      <c r="C47" s="22" t="s">
        <v>337</v>
      </c>
      <c r="D47" s="21" t="s">
        <v>16</v>
      </c>
      <c r="E47" s="21" t="s">
        <v>29</v>
      </c>
      <c r="F47" s="22" t="s">
        <v>338</v>
      </c>
      <c r="G47" s="22" t="s">
        <v>228</v>
      </c>
      <c r="H47" s="22" t="s">
        <v>339</v>
      </c>
      <c r="I47" s="22" t="s">
        <v>340</v>
      </c>
      <c r="J47" s="22" t="s">
        <v>341</v>
      </c>
      <c r="K47" s="21" t="s">
        <v>40</v>
      </c>
      <c r="L47" s="22" t="s">
        <v>15</v>
      </c>
      <c r="M47" s="23" t="s">
        <v>15</v>
      </c>
      <c r="N47" s="22" t="s">
        <v>15</v>
      </c>
    </row>
    <row r="48" spans="1:14" x14ac:dyDescent="0.25">
      <c r="A48" s="21" t="s">
        <v>342</v>
      </c>
      <c r="B48" s="22" t="s">
        <v>50</v>
      </c>
      <c r="C48" s="22" t="s">
        <v>343</v>
      </c>
      <c r="D48" s="21" t="s">
        <v>24</v>
      </c>
      <c r="E48" s="21" t="s">
        <v>27</v>
      </c>
      <c r="F48" s="22" t="s">
        <v>344</v>
      </c>
      <c r="G48" s="22" t="s">
        <v>345</v>
      </c>
      <c r="H48" s="22" t="s">
        <v>346</v>
      </c>
      <c r="I48" s="22" t="s">
        <v>347</v>
      </c>
      <c r="J48" s="22" t="s">
        <v>348</v>
      </c>
      <c r="K48" s="21" t="s">
        <v>40</v>
      </c>
      <c r="L48" s="22" t="s">
        <v>15</v>
      </c>
      <c r="M48" s="23" t="s">
        <v>15</v>
      </c>
      <c r="N48" s="22" t="s">
        <v>15</v>
      </c>
    </row>
    <row r="49" spans="1:14" x14ac:dyDescent="0.25">
      <c r="A49" s="21" t="s">
        <v>349</v>
      </c>
      <c r="B49" s="22" t="s">
        <v>50</v>
      </c>
      <c r="C49" s="22" t="s">
        <v>350</v>
      </c>
      <c r="D49" s="21" t="s">
        <v>24</v>
      </c>
      <c r="E49" s="21" t="s">
        <v>29</v>
      </c>
      <c r="F49" s="22" t="s">
        <v>351</v>
      </c>
      <c r="G49" s="22" t="s">
        <v>352</v>
      </c>
      <c r="H49" s="22" t="s">
        <v>353</v>
      </c>
      <c r="I49" s="22" t="s">
        <v>354</v>
      </c>
      <c r="J49" s="22" t="s">
        <v>355</v>
      </c>
      <c r="K49" s="21" t="s">
        <v>40</v>
      </c>
      <c r="L49" s="22" t="s">
        <v>15</v>
      </c>
      <c r="M49" s="23" t="s">
        <v>15</v>
      </c>
      <c r="N49" s="22" t="s">
        <v>15</v>
      </c>
    </row>
    <row r="50" spans="1:14" x14ac:dyDescent="0.25">
      <c r="A50" s="21" t="s">
        <v>356</v>
      </c>
      <c r="B50" s="22" t="s">
        <v>50</v>
      </c>
      <c r="C50" s="22" t="s">
        <v>357</v>
      </c>
      <c r="D50" s="21" t="s">
        <v>20</v>
      </c>
      <c r="E50" s="21" t="s">
        <v>29</v>
      </c>
      <c r="F50" s="22" t="s">
        <v>358</v>
      </c>
      <c r="G50" s="22" t="s">
        <v>359</v>
      </c>
      <c r="H50" s="22" t="s">
        <v>360</v>
      </c>
      <c r="I50" s="22" t="s">
        <v>361</v>
      </c>
      <c r="J50" s="22" t="s">
        <v>362</v>
      </c>
      <c r="K50" s="21" t="s">
        <v>40</v>
      </c>
      <c r="L50" s="22" t="s">
        <v>15</v>
      </c>
      <c r="M50" s="23" t="s">
        <v>15</v>
      </c>
      <c r="N50" s="22" t="s">
        <v>15</v>
      </c>
    </row>
    <row r="51" spans="1:14" x14ac:dyDescent="0.25">
      <c r="A51" s="21" t="s">
        <v>363</v>
      </c>
      <c r="B51" s="22" t="s">
        <v>48</v>
      </c>
      <c r="C51" s="22" t="s">
        <v>364</v>
      </c>
      <c r="D51" s="21" t="s">
        <v>16</v>
      </c>
      <c r="E51" s="21" t="s">
        <v>31</v>
      </c>
      <c r="F51" s="22" t="s">
        <v>365</v>
      </c>
      <c r="G51" s="22" t="s">
        <v>332</v>
      </c>
      <c r="H51" s="22" t="s">
        <v>366</v>
      </c>
      <c r="I51" s="22" t="s">
        <v>367</v>
      </c>
      <c r="J51" s="22" t="s">
        <v>368</v>
      </c>
      <c r="K51" s="21" t="s">
        <v>40</v>
      </c>
      <c r="L51" s="22" t="s">
        <v>15</v>
      </c>
      <c r="M51" s="23" t="s">
        <v>15</v>
      </c>
      <c r="N51" s="22" t="s">
        <v>15</v>
      </c>
    </row>
    <row r="52" spans="1:14" x14ac:dyDescent="0.25">
      <c r="A52" s="21" t="s">
        <v>369</v>
      </c>
      <c r="B52" s="22" t="s">
        <v>48</v>
      </c>
      <c r="C52" s="22" t="s">
        <v>370</v>
      </c>
      <c r="D52" s="21" t="s">
        <v>16</v>
      </c>
      <c r="E52" s="21" t="s">
        <v>27</v>
      </c>
      <c r="F52" s="22" t="s">
        <v>371</v>
      </c>
      <c r="G52" s="22" t="s">
        <v>332</v>
      </c>
      <c r="H52" s="22" t="s">
        <v>372</v>
      </c>
      <c r="I52" s="22" t="s">
        <v>373</v>
      </c>
      <c r="J52" s="22" t="s">
        <v>374</v>
      </c>
      <c r="K52" s="21" t="s">
        <v>40</v>
      </c>
      <c r="L52" s="22" t="s">
        <v>15</v>
      </c>
      <c r="M52" s="23" t="s">
        <v>15</v>
      </c>
      <c r="N52" s="22" t="s">
        <v>15</v>
      </c>
    </row>
    <row r="53" spans="1:14" x14ac:dyDescent="0.25">
      <c r="A53" s="21" t="s">
        <v>375</v>
      </c>
      <c r="B53" s="22" t="s">
        <v>48</v>
      </c>
      <c r="C53" s="22" t="s">
        <v>370</v>
      </c>
      <c r="D53" s="21" t="s">
        <v>16</v>
      </c>
      <c r="E53" s="21" t="s">
        <v>29</v>
      </c>
      <c r="F53" s="22" t="s">
        <v>376</v>
      </c>
      <c r="G53" s="22" t="s">
        <v>332</v>
      </c>
      <c r="H53" s="22" t="s">
        <v>377</v>
      </c>
      <c r="I53" s="22" t="s">
        <v>378</v>
      </c>
      <c r="J53" s="22" t="s">
        <v>379</v>
      </c>
      <c r="K53" s="21" t="s">
        <v>40</v>
      </c>
      <c r="L53" s="22" t="s">
        <v>15</v>
      </c>
      <c r="M53" s="23" t="s">
        <v>15</v>
      </c>
      <c r="N53" s="22" t="s">
        <v>15</v>
      </c>
    </row>
    <row r="54" spans="1:14" x14ac:dyDescent="0.25">
      <c r="A54" s="21" t="s">
        <v>380</v>
      </c>
      <c r="B54" s="22" t="s">
        <v>48</v>
      </c>
      <c r="C54" s="22" t="s">
        <v>370</v>
      </c>
      <c r="D54" s="21" t="s">
        <v>16</v>
      </c>
      <c r="E54" s="21" t="s">
        <v>29</v>
      </c>
      <c r="F54" s="22" t="s">
        <v>381</v>
      </c>
      <c r="G54" s="22" t="s">
        <v>332</v>
      </c>
      <c r="H54" s="22" t="s">
        <v>382</v>
      </c>
      <c r="I54" s="22" t="s">
        <v>383</v>
      </c>
      <c r="J54" s="22" t="s">
        <v>379</v>
      </c>
      <c r="K54" s="21" t="s">
        <v>40</v>
      </c>
      <c r="L54" s="22" t="s">
        <v>15</v>
      </c>
      <c r="M54" s="23" t="s">
        <v>15</v>
      </c>
      <c r="N54" s="22" t="s">
        <v>15</v>
      </c>
    </row>
    <row r="55" spans="1:14" x14ac:dyDescent="0.25">
      <c r="A55" s="21" t="s">
        <v>384</v>
      </c>
      <c r="B55" s="22" t="s">
        <v>48</v>
      </c>
      <c r="C55" s="22" t="s">
        <v>385</v>
      </c>
      <c r="D55" s="21" t="s">
        <v>18</v>
      </c>
      <c r="E55" s="21" t="s">
        <v>27</v>
      </c>
      <c r="F55" s="22" t="s">
        <v>386</v>
      </c>
      <c r="G55" s="22" t="s">
        <v>387</v>
      </c>
      <c r="H55" s="22" t="s">
        <v>388</v>
      </c>
      <c r="I55" s="22" t="s">
        <v>389</v>
      </c>
      <c r="J55" s="22" t="s">
        <v>390</v>
      </c>
      <c r="K55" s="21" t="s">
        <v>40</v>
      </c>
      <c r="L55" s="22" t="s">
        <v>15</v>
      </c>
      <c r="M55" s="23" t="s">
        <v>15</v>
      </c>
      <c r="N55" s="22" t="s">
        <v>15</v>
      </c>
    </row>
    <row r="56" spans="1:14" x14ac:dyDescent="0.25">
      <c r="A56" s="21" t="s">
        <v>391</v>
      </c>
      <c r="B56" s="22" t="s">
        <v>48</v>
      </c>
      <c r="C56" s="22" t="s">
        <v>385</v>
      </c>
      <c r="D56" s="21" t="s">
        <v>22</v>
      </c>
      <c r="E56" s="21" t="s">
        <v>27</v>
      </c>
      <c r="F56" s="22" t="s">
        <v>392</v>
      </c>
      <c r="G56" s="22" t="s">
        <v>393</v>
      </c>
      <c r="H56" s="22" t="s">
        <v>123</v>
      </c>
      <c r="I56" s="22" t="s">
        <v>394</v>
      </c>
      <c r="J56" s="22" t="s">
        <v>395</v>
      </c>
      <c r="K56" s="21" t="s">
        <v>40</v>
      </c>
      <c r="L56" s="22" t="s">
        <v>15</v>
      </c>
      <c r="M56" s="23" t="s">
        <v>15</v>
      </c>
      <c r="N56" s="22" t="s">
        <v>15</v>
      </c>
    </row>
    <row r="57" spans="1:14" x14ac:dyDescent="0.25">
      <c r="A57" s="21" t="s">
        <v>396</v>
      </c>
      <c r="B57" s="22" t="s">
        <v>48</v>
      </c>
      <c r="C57" s="22" t="s">
        <v>385</v>
      </c>
      <c r="D57" s="21" t="s">
        <v>22</v>
      </c>
      <c r="E57" s="21" t="s">
        <v>29</v>
      </c>
      <c r="F57" s="22" t="s">
        <v>397</v>
      </c>
      <c r="G57" s="22" t="s">
        <v>398</v>
      </c>
      <c r="H57" s="22" t="s">
        <v>123</v>
      </c>
      <c r="I57" s="22" t="s">
        <v>399</v>
      </c>
      <c r="J57" s="22" t="s">
        <v>400</v>
      </c>
      <c r="K57" s="21" t="s">
        <v>40</v>
      </c>
      <c r="L57" s="22" t="s">
        <v>15</v>
      </c>
      <c r="M57" s="23" t="s">
        <v>15</v>
      </c>
      <c r="N57" s="22" t="s">
        <v>15</v>
      </c>
    </row>
    <row r="58" spans="1:14" x14ac:dyDescent="0.25">
      <c r="A58" s="21" t="s">
        <v>401</v>
      </c>
      <c r="B58" s="22" t="s">
        <v>48</v>
      </c>
      <c r="C58" s="22" t="s">
        <v>385</v>
      </c>
      <c r="D58" s="21" t="s">
        <v>18</v>
      </c>
      <c r="E58" s="21" t="s">
        <v>29</v>
      </c>
      <c r="F58" s="22" t="s">
        <v>402</v>
      </c>
      <c r="G58" s="22" t="s">
        <v>403</v>
      </c>
      <c r="H58" s="22" t="s">
        <v>123</v>
      </c>
      <c r="I58" s="22" t="s">
        <v>404</v>
      </c>
      <c r="J58" s="22" t="s">
        <v>405</v>
      </c>
      <c r="K58" s="21" t="s">
        <v>40</v>
      </c>
      <c r="L58" s="22" t="s">
        <v>15</v>
      </c>
      <c r="M58" s="23" t="s">
        <v>15</v>
      </c>
      <c r="N58" s="22" t="s">
        <v>15</v>
      </c>
    </row>
    <row r="59" spans="1:14" x14ac:dyDescent="0.25">
      <c r="A59" s="21" t="s">
        <v>406</v>
      </c>
      <c r="B59" s="22" t="s">
        <v>48</v>
      </c>
      <c r="C59" s="22" t="s">
        <v>407</v>
      </c>
      <c r="D59" s="21" t="s">
        <v>16</v>
      </c>
      <c r="E59" s="21" t="s">
        <v>27</v>
      </c>
      <c r="F59" s="22" t="s">
        <v>408</v>
      </c>
      <c r="G59" s="22" t="s">
        <v>332</v>
      </c>
      <c r="H59" s="22" t="s">
        <v>409</v>
      </c>
      <c r="I59" s="22" t="s">
        <v>410</v>
      </c>
      <c r="J59" s="22" t="s">
        <v>411</v>
      </c>
      <c r="K59" s="21" t="s">
        <v>40</v>
      </c>
      <c r="L59" s="22" t="s">
        <v>15</v>
      </c>
      <c r="M59" s="23" t="s">
        <v>15</v>
      </c>
      <c r="N59" s="22" t="s">
        <v>15</v>
      </c>
    </row>
    <row r="60" spans="1:14" x14ac:dyDescent="0.25">
      <c r="A60" s="21" t="s">
        <v>412</v>
      </c>
      <c r="B60" s="22" t="s">
        <v>48</v>
      </c>
      <c r="C60" s="22" t="s">
        <v>407</v>
      </c>
      <c r="D60" s="21" t="s">
        <v>16</v>
      </c>
      <c r="E60" s="21" t="s">
        <v>27</v>
      </c>
      <c r="F60" s="22" t="s">
        <v>413</v>
      </c>
      <c r="G60" s="22" t="s">
        <v>332</v>
      </c>
      <c r="H60" s="22" t="s">
        <v>414</v>
      </c>
      <c r="I60" s="22" t="s">
        <v>415</v>
      </c>
      <c r="J60" s="22" t="s">
        <v>416</v>
      </c>
      <c r="K60" s="21" t="s">
        <v>40</v>
      </c>
      <c r="L60" s="22" t="s">
        <v>15</v>
      </c>
      <c r="M60" s="23" t="s">
        <v>15</v>
      </c>
      <c r="N60" s="22" t="s">
        <v>15</v>
      </c>
    </row>
    <row r="61" spans="1:14" x14ac:dyDescent="0.25">
      <c r="A61" s="21" t="s">
        <v>417</v>
      </c>
      <c r="B61" s="22" t="s">
        <v>48</v>
      </c>
      <c r="C61" s="22" t="s">
        <v>407</v>
      </c>
      <c r="D61" s="21" t="s">
        <v>16</v>
      </c>
      <c r="E61" s="21" t="s">
        <v>27</v>
      </c>
      <c r="F61" s="22" t="s">
        <v>418</v>
      </c>
      <c r="G61" s="22" t="s">
        <v>332</v>
      </c>
      <c r="H61" s="22" t="s">
        <v>419</v>
      </c>
      <c r="I61" s="22" t="s">
        <v>420</v>
      </c>
      <c r="J61" s="22" t="s">
        <v>421</v>
      </c>
      <c r="K61" s="21" t="s">
        <v>40</v>
      </c>
      <c r="L61" s="22" t="s">
        <v>15</v>
      </c>
      <c r="M61" s="23" t="s">
        <v>15</v>
      </c>
      <c r="N61" s="22" t="s">
        <v>15</v>
      </c>
    </row>
    <row r="62" spans="1:14" x14ac:dyDescent="0.25">
      <c r="A62" s="21" t="s">
        <v>422</v>
      </c>
      <c r="B62" s="22" t="s">
        <v>48</v>
      </c>
      <c r="C62" s="22" t="s">
        <v>407</v>
      </c>
      <c r="D62" s="21" t="s">
        <v>16</v>
      </c>
      <c r="E62" s="21" t="s">
        <v>27</v>
      </c>
      <c r="F62" s="22" t="s">
        <v>423</v>
      </c>
      <c r="G62" s="22" t="s">
        <v>332</v>
      </c>
      <c r="H62" s="22" t="s">
        <v>424</v>
      </c>
      <c r="I62" s="22" t="s">
        <v>425</v>
      </c>
      <c r="J62" s="22" t="s">
        <v>421</v>
      </c>
      <c r="K62" s="21" t="s">
        <v>40</v>
      </c>
      <c r="L62" s="22" t="s">
        <v>15</v>
      </c>
      <c r="M62" s="23" t="s">
        <v>15</v>
      </c>
      <c r="N62" s="22" t="s">
        <v>15</v>
      </c>
    </row>
    <row r="63" spans="1:14" x14ac:dyDescent="0.25">
      <c r="A63" s="21" t="s">
        <v>426</v>
      </c>
      <c r="B63" s="22" t="s">
        <v>48</v>
      </c>
      <c r="C63" s="22" t="s">
        <v>407</v>
      </c>
      <c r="D63" s="21" t="s">
        <v>16</v>
      </c>
      <c r="E63" s="21" t="s">
        <v>27</v>
      </c>
      <c r="F63" s="22" t="s">
        <v>427</v>
      </c>
      <c r="G63" s="22" t="s">
        <v>428</v>
      </c>
      <c r="H63" s="22" t="s">
        <v>429</v>
      </c>
      <c r="I63" s="22" t="s">
        <v>430</v>
      </c>
      <c r="J63" s="22" t="s">
        <v>421</v>
      </c>
      <c r="K63" s="21" t="s">
        <v>40</v>
      </c>
      <c r="L63" s="22" t="s">
        <v>15</v>
      </c>
      <c r="M63" s="23" t="s">
        <v>15</v>
      </c>
      <c r="N63" s="22" t="s">
        <v>15</v>
      </c>
    </row>
    <row r="64" spans="1:14" x14ac:dyDescent="0.25">
      <c r="A64" s="21" t="s">
        <v>431</v>
      </c>
      <c r="B64" s="22" t="s">
        <v>48</v>
      </c>
      <c r="C64" s="22" t="s">
        <v>407</v>
      </c>
      <c r="D64" s="21" t="s">
        <v>22</v>
      </c>
      <c r="E64" s="21" t="s">
        <v>29</v>
      </c>
      <c r="F64" s="22" t="s">
        <v>432</v>
      </c>
      <c r="G64" s="22" t="s">
        <v>433</v>
      </c>
      <c r="H64" s="22" t="s">
        <v>434</v>
      </c>
      <c r="I64" s="22" t="s">
        <v>435</v>
      </c>
      <c r="J64" s="22" t="s">
        <v>436</v>
      </c>
      <c r="K64" s="21" t="s">
        <v>40</v>
      </c>
      <c r="L64" s="22" t="s">
        <v>15</v>
      </c>
      <c r="M64" s="23" t="s">
        <v>15</v>
      </c>
      <c r="N64" s="22" t="s">
        <v>15</v>
      </c>
    </row>
    <row r="65" spans="1:14" x14ac:dyDescent="0.25">
      <c r="A65" s="21" t="s">
        <v>437</v>
      </c>
      <c r="B65" s="22" t="s">
        <v>48</v>
      </c>
      <c r="C65" s="22" t="s">
        <v>407</v>
      </c>
      <c r="D65" s="21" t="s">
        <v>22</v>
      </c>
      <c r="E65" s="21" t="s">
        <v>31</v>
      </c>
      <c r="F65" s="22" t="s">
        <v>438</v>
      </c>
      <c r="G65" s="22" t="s">
        <v>439</v>
      </c>
      <c r="H65" s="22" t="s">
        <v>440</v>
      </c>
      <c r="I65" s="22" t="s">
        <v>441</v>
      </c>
      <c r="J65" s="22" t="s">
        <v>442</v>
      </c>
      <c r="K65" s="21" t="s">
        <v>40</v>
      </c>
      <c r="L65" s="22" t="s">
        <v>15</v>
      </c>
      <c r="M65" s="23" t="s">
        <v>15</v>
      </c>
      <c r="N65" s="22" t="s">
        <v>15</v>
      </c>
    </row>
    <row r="66" spans="1:14" x14ac:dyDescent="0.25">
      <c r="A66" s="21" t="s">
        <v>443</v>
      </c>
      <c r="B66" s="22" t="s">
        <v>48</v>
      </c>
      <c r="C66" s="22" t="s">
        <v>444</v>
      </c>
      <c r="D66" s="21" t="s">
        <v>16</v>
      </c>
      <c r="E66" s="21" t="s">
        <v>31</v>
      </c>
      <c r="F66" s="22" t="s">
        <v>445</v>
      </c>
      <c r="G66" s="22" t="s">
        <v>332</v>
      </c>
      <c r="H66" s="22" t="s">
        <v>446</v>
      </c>
      <c r="I66" s="22" t="s">
        <v>447</v>
      </c>
      <c r="J66" s="22" t="s">
        <v>448</v>
      </c>
      <c r="K66" s="21" t="s">
        <v>40</v>
      </c>
      <c r="L66" s="22" t="s">
        <v>15</v>
      </c>
      <c r="M66" s="23" t="s">
        <v>15</v>
      </c>
      <c r="N66" s="22" t="s">
        <v>15</v>
      </c>
    </row>
    <row r="67" spans="1:14" x14ac:dyDescent="0.25">
      <c r="A67" s="21" t="s">
        <v>449</v>
      </c>
      <c r="B67" s="22" t="s">
        <v>48</v>
      </c>
      <c r="C67" s="22" t="s">
        <v>450</v>
      </c>
      <c r="D67" s="21" t="s">
        <v>16</v>
      </c>
      <c r="E67" s="21" t="s">
        <v>27</v>
      </c>
      <c r="F67" s="22" t="s">
        <v>451</v>
      </c>
      <c r="G67" s="22" t="s">
        <v>332</v>
      </c>
      <c r="H67" s="22" t="s">
        <v>452</v>
      </c>
      <c r="I67" s="22" t="s">
        <v>453</v>
      </c>
      <c r="J67" s="22" t="s">
        <v>454</v>
      </c>
      <c r="K67" s="21" t="s">
        <v>40</v>
      </c>
      <c r="L67" s="22" t="s">
        <v>15</v>
      </c>
      <c r="M67" s="23" t="s">
        <v>15</v>
      </c>
      <c r="N67" s="22" t="s">
        <v>15</v>
      </c>
    </row>
    <row r="68" spans="1:14" x14ac:dyDescent="0.25">
      <c r="A68" s="21" t="s">
        <v>455</v>
      </c>
      <c r="B68" s="22" t="s">
        <v>48</v>
      </c>
      <c r="C68" s="22" t="s">
        <v>450</v>
      </c>
      <c r="D68" s="21" t="s">
        <v>18</v>
      </c>
      <c r="E68" s="21" t="s">
        <v>29</v>
      </c>
      <c r="F68" s="22" t="s">
        <v>456</v>
      </c>
      <c r="G68" s="22" t="s">
        <v>332</v>
      </c>
      <c r="H68" s="22" t="s">
        <v>457</v>
      </c>
      <c r="I68" s="22" t="s">
        <v>458</v>
      </c>
      <c r="J68" s="22" t="s">
        <v>459</v>
      </c>
      <c r="K68" s="21" t="s">
        <v>40</v>
      </c>
      <c r="L68" s="22" t="s">
        <v>15</v>
      </c>
      <c r="M68" s="23" t="s">
        <v>15</v>
      </c>
      <c r="N68" s="22" t="s">
        <v>15</v>
      </c>
    </row>
    <row r="69" spans="1:14" x14ac:dyDescent="0.25">
      <c r="A69" s="21" t="s">
        <v>460</v>
      </c>
      <c r="B69" s="22" t="s">
        <v>48</v>
      </c>
      <c r="C69" s="22" t="s">
        <v>450</v>
      </c>
      <c r="D69" s="21" t="s">
        <v>16</v>
      </c>
      <c r="E69" s="21" t="s">
        <v>29</v>
      </c>
      <c r="F69" s="22" t="s">
        <v>461</v>
      </c>
      <c r="G69" s="22" t="s">
        <v>462</v>
      </c>
      <c r="H69" s="22" t="s">
        <v>463</v>
      </c>
      <c r="I69" s="22" t="s">
        <v>464</v>
      </c>
      <c r="J69" s="22" t="s">
        <v>465</v>
      </c>
      <c r="K69" s="21" t="s">
        <v>40</v>
      </c>
      <c r="L69" s="22" t="s">
        <v>15</v>
      </c>
      <c r="M69" s="23" t="s">
        <v>15</v>
      </c>
      <c r="N69" s="22" t="s">
        <v>15</v>
      </c>
    </row>
    <row r="70" spans="1:14" x14ac:dyDescent="0.25">
      <c r="A70" s="21" t="s">
        <v>466</v>
      </c>
      <c r="B70" s="22" t="s">
        <v>48</v>
      </c>
      <c r="C70" s="22" t="s">
        <v>467</v>
      </c>
      <c r="D70" s="21" t="s">
        <v>24</v>
      </c>
      <c r="E70" s="21" t="s">
        <v>27</v>
      </c>
      <c r="F70" s="22" t="s">
        <v>468</v>
      </c>
      <c r="G70" s="22" t="s">
        <v>99</v>
      </c>
      <c r="H70" s="22" t="s">
        <v>469</v>
      </c>
      <c r="I70" s="22" t="s">
        <v>470</v>
      </c>
      <c r="J70" s="22" t="s">
        <v>471</v>
      </c>
      <c r="K70" s="21" t="s">
        <v>40</v>
      </c>
      <c r="L70" s="22" t="s">
        <v>15</v>
      </c>
      <c r="M70" s="23" t="s">
        <v>15</v>
      </c>
      <c r="N70" s="22" t="s">
        <v>15</v>
      </c>
    </row>
    <row r="71" spans="1:14" x14ac:dyDescent="0.25">
      <c r="A71" s="21" t="s">
        <v>472</v>
      </c>
      <c r="B71" s="22" t="s">
        <v>48</v>
      </c>
      <c r="C71" s="22" t="s">
        <v>467</v>
      </c>
      <c r="D71" s="21" t="s">
        <v>24</v>
      </c>
      <c r="E71" s="21" t="s">
        <v>27</v>
      </c>
      <c r="F71" s="22" t="s">
        <v>473</v>
      </c>
      <c r="G71" s="22" t="s">
        <v>474</v>
      </c>
      <c r="H71" s="22" t="s">
        <v>475</v>
      </c>
      <c r="I71" s="22" t="s">
        <v>476</v>
      </c>
      <c r="J71" s="22" t="s">
        <v>477</v>
      </c>
      <c r="K71" s="21" t="s">
        <v>40</v>
      </c>
      <c r="L71" s="22" t="s">
        <v>15</v>
      </c>
      <c r="M71" s="23" t="s">
        <v>15</v>
      </c>
      <c r="N71" s="22" t="s">
        <v>15</v>
      </c>
    </row>
    <row r="72" spans="1:14" x14ac:dyDescent="0.25">
      <c r="A72" s="21" t="s">
        <v>478</v>
      </c>
      <c r="B72" s="22" t="s">
        <v>48</v>
      </c>
      <c r="C72" s="22" t="s">
        <v>479</v>
      </c>
      <c r="D72" s="21" t="s">
        <v>16</v>
      </c>
      <c r="E72" s="21" t="s">
        <v>27</v>
      </c>
      <c r="F72" s="22" t="s">
        <v>480</v>
      </c>
      <c r="G72" s="22" t="s">
        <v>332</v>
      </c>
      <c r="H72" s="22" t="s">
        <v>481</v>
      </c>
      <c r="I72" s="22" t="s">
        <v>482</v>
      </c>
      <c r="J72" s="22" t="s">
        <v>483</v>
      </c>
      <c r="K72" s="21" t="s">
        <v>40</v>
      </c>
      <c r="L72" s="22" t="s">
        <v>15</v>
      </c>
      <c r="M72" s="23" t="s">
        <v>15</v>
      </c>
      <c r="N72" s="22" t="s">
        <v>15</v>
      </c>
    </row>
    <row r="73" spans="1:14" x14ac:dyDescent="0.25">
      <c r="A73" s="21" t="s">
        <v>484</v>
      </c>
      <c r="B73" s="22" t="s">
        <v>48</v>
      </c>
      <c r="C73" s="22" t="s">
        <v>479</v>
      </c>
      <c r="D73" s="21" t="s">
        <v>18</v>
      </c>
      <c r="E73" s="21" t="s">
        <v>29</v>
      </c>
      <c r="F73" s="22" t="s">
        <v>485</v>
      </c>
      <c r="G73" s="22" t="s">
        <v>332</v>
      </c>
      <c r="H73" s="22" t="s">
        <v>486</v>
      </c>
      <c r="I73" s="22" t="s">
        <v>487</v>
      </c>
      <c r="J73" s="22" t="s">
        <v>488</v>
      </c>
      <c r="K73" s="21" t="s">
        <v>40</v>
      </c>
      <c r="L73" s="22" t="s">
        <v>15</v>
      </c>
      <c r="M73" s="23" t="s">
        <v>15</v>
      </c>
      <c r="N73" s="22" t="s">
        <v>15</v>
      </c>
    </row>
    <row r="74" spans="1:14" x14ac:dyDescent="0.25">
      <c r="A74" s="21" t="s">
        <v>489</v>
      </c>
      <c r="B74" s="22" t="s">
        <v>48</v>
      </c>
      <c r="C74" s="22" t="s">
        <v>479</v>
      </c>
      <c r="D74" s="21" t="s">
        <v>16</v>
      </c>
      <c r="E74" s="21" t="s">
        <v>27</v>
      </c>
      <c r="F74" s="22" t="s">
        <v>490</v>
      </c>
      <c r="G74" s="22" t="s">
        <v>332</v>
      </c>
      <c r="H74" s="22" t="s">
        <v>491</v>
      </c>
      <c r="I74" s="22" t="s">
        <v>492</v>
      </c>
      <c r="J74" s="22" t="s">
        <v>493</v>
      </c>
      <c r="K74" s="21" t="s">
        <v>40</v>
      </c>
      <c r="L74" s="22" t="s">
        <v>15</v>
      </c>
      <c r="M74" s="23" t="s">
        <v>15</v>
      </c>
      <c r="N74" s="22" t="s">
        <v>15</v>
      </c>
    </row>
    <row r="75" spans="1:14" x14ac:dyDescent="0.25">
      <c r="A75" s="21" t="s">
        <v>494</v>
      </c>
      <c r="B75" s="22" t="s">
        <v>48</v>
      </c>
      <c r="C75" s="22" t="s">
        <v>479</v>
      </c>
      <c r="D75" s="21" t="s">
        <v>24</v>
      </c>
      <c r="E75" s="21" t="s">
        <v>27</v>
      </c>
      <c r="F75" s="22" t="s">
        <v>495</v>
      </c>
      <c r="G75" s="22" t="s">
        <v>490</v>
      </c>
      <c r="H75" s="22" t="s">
        <v>496</v>
      </c>
      <c r="I75" s="22" t="s">
        <v>497</v>
      </c>
      <c r="J75" s="22" t="s">
        <v>498</v>
      </c>
      <c r="K75" s="21" t="s">
        <v>40</v>
      </c>
      <c r="L75" s="22" t="s">
        <v>15</v>
      </c>
      <c r="M75" s="23" t="s">
        <v>15</v>
      </c>
      <c r="N75" s="22" t="s">
        <v>15</v>
      </c>
    </row>
    <row r="76" spans="1:14" x14ac:dyDescent="0.25">
      <c r="A76" s="21" t="s">
        <v>499</v>
      </c>
      <c r="B76" s="22" t="s">
        <v>48</v>
      </c>
      <c r="C76" s="22" t="s">
        <v>479</v>
      </c>
      <c r="D76" s="21" t="s">
        <v>24</v>
      </c>
      <c r="E76" s="21" t="s">
        <v>27</v>
      </c>
      <c r="F76" s="22" t="s">
        <v>500</v>
      </c>
      <c r="G76" s="22" t="s">
        <v>490</v>
      </c>
      <c r="H76" s="22" t="s">
        <v>501</v>
      </c>
      <c r="I76" s="22" t="s">
        <v>502</v>
      </c>
      <c r="J76" s="22" t="s">
        <v>503</v>
      </c>
      <c r="K76" s="21" t="s">
        <v>40</v>
      </c>
      <c r="L76" s="22" t="s">
        <v>15</v>
      </c>
      <c r="M76" s="23" t="s">
        <v>15</v>
      </c>
      <c r="N76" s="22" t="s">
        <v>15</v>
      </c>
    </row>
    <row r="77" spans="1:14" x14ac:dyDescent="0.25">
      <c r="A77" s="21" t="s">
        <v>504</v>
      </c>
      <c r="B77" s="22" t="s">
        <v>48</v>
      </c>
      <c r="C77" s="22" t="s">
        <v>479</v>
      </c>
      <c r="D77" s="21" t="s">
        <v>18</v>
      </c>
      <c r="E77" s="21" t="s">
        <v>29</v>
      </c>
      <c r="F77" s="22" t="s">
        <v>505</v>
      </c>
      <c r="G77" s="22" t="s">
        <v>506</v>
      </c>
      <c r="H77" s="22" t="s">
        <v>491</v>
      </c>
      <c r="I77" s="22" t="s">
        <v>507</v>
      </c>
      <c r="J77" s="22" t="s">
        <v>508</v>
      </c>
      <c r="K77" s="21" t="s">
        <v>40</v>
      </c>
      <c r="L77" s="22" t="s">
        <v>15</v>
      </c>
      <c r="M77" s="23" t="s">
        <v>15</v>
      </c>
      <c r="N77" s="22" t="s">
        <v>15</v>
      </c>
    </row>
    <row r="78" spans="1:14" x14ac:dyDescent="0.25">
      <c r="A78" s="21" t="s">
        <v>509</v>
      </c>
      <c r="B78" s="22" t="s">
        <v>48</v>
      </c>
      <c r="C78" s="22" t="s">
        <v>479</v>
      </c>
      <c r="D78" s="21" t="s">
        <v>18</v>
      </c>
      <c r="E78" s="21" t="s">
        <v>29</v>
      </c>
      <c r="F78" s="22" t="s">
        <v>510</v>
      </c>
      <c r="G78" s="22" t="s">
        <v>511</v>
      </c>
      <c r="H78" s="22" t="s">
        <v>491</v>
      </c>
      <c r="I78" s="22" t="s">
        <v>512</v>
      </c>
      <c r="J78" s="22" t="s">
        <v>508</v>
      </c>
      <c r="K78" s="21" t="s">
        <v>40</v>
      </c>
      <c r="L78" s="22" t="s">
        <v>15</v>
      </c>
      <c r="M78" s="23" t="s">
        <v>15</v>
      </c>
      <c r="N78" s="22" t="s">
        <v>15</v>
      </c>
    </row>
    <row r="79" spans="1:14" x14ac:dyDescent="0.25">
      <c r="A79" s="21" t="s">
        <v>513</v>
      </c>
      <c r="B79" s="22" t="s">
        <v>48</v>
      </c>
      <c r="C79" s="22" t="s">
        <v>479</v>
      </c>
      <c r="D79" s="21" t="s">
        <v>18</v>
      </c>
      <c r="E79" s="21" t="s">
        <v>27</v>
      </c>
      <c r="F79" s="22" t="s">
        <v>514</v>
      </c>
      <c r="G79" s="22" t="s">
        <v>515</v>
      </c>
      <c r="H79" s="22" t="s">
        <v>491</v>
      </c>
      <c r="I79" s="22" t="s">
        <v>516</v>
      </c>
      <c r="J79" s="22" t="s">
        <v>517</v>
      </c>
      <c r="K79" s="21" t="s">
        <v>40</v>
      </c>
      <c r="L79" s="22" t="s">
        <v>15</v>
      </c>
      <c r="M79" s="23" t="s">
        <v>15</v>
      </c>
      <c r="N79" s="22" t="s">
        <v>15</v>
      </c>
    </row>
    <row r="80" spans="1:14" x14ac:dyDescent="0.25">
      <c r="A80" s="21" t="s">
        <v>518</v>
      </c>
      <c r="B80" s="22" t="s">
        <v>48</v>
      </c>
      <c r="C80" s="22" t="s">
        <v>479</v>
      </c>
      <c r="D80" s="21" t="s">
        <v>22</v>
      </c>
      <c r="E80" s="21" t="s">
        <v>27</v>
      </c>
      <c r="F80" s="22" t="s">
        <v>519</v>
      </c>
      <c r="G80" s="22" t="s">
        <v>520</v>
      </c>
      <c r="H80" s="22" t="s">
        <v>491</v>
      </c>
      <c r="I80" s="22" t="s">
        <v>521</v>
      </c>
      <c r="J80" s="22" t="s">
        <v>522</v>
      </c>
      <c r="K80" s="21" t="s">
        <v>40</v>
      </c>
      <c r="L80" s="22" t="s">
        <v>15</v>
      </c>
      <c r="M80" s="23" t="s">
        <v>15</v>
      </c>
      <c r="N80" s="22" t="s">
        <v>15</v>
      </c>
    </row>
    <row r="81" spans="1:14" x14ac:dyDescent="0.25">
      <c r="A81" s="21" t="s">
        <v>523</v>
      </c>
      <c r="B81" s="22" t="s">
        <v>48</v>
      </c>
      <c r="C81" s="22" t="s">
        <v>524</v>
      </c>
      <c r="D81" s="21" t="s">
        <v>16</v>
      </c>
      <c r="E81" s="21" t="s">
        <v>27</v>
      </c>
      <c r="F81" s="22" t="s">
        <v>525</v>
      </c>
      <c r="G81" s="22" t="s">
        <v>99</v>
      </c>
      <c r="H81" s="22" t="s">
        <v>526</v>
      </c>
      <c r="I81" s="22" t="s">
        <v>527</v>
      </c>
      <c r="J81" s="22" t="s">
        <v>528</v>
      </c>
      <c r="K81" s="21" t="s">
        <v>40</v>
      </c>
      <c r="L81" s="22" t="s">
        <v>15</v>
      </c>
      <c r="M81" s="23" t="s">
        <v>15</v>
      </c>
      <c r="N81" s="22" t="s">
        <v>15</v>
      </c>
    </row>
    <row r="82" spans="1:14" x14ac:dyDescent="0.25">
      <c r="A82" s="21" t="s">
        <v>529</v>
      </c>
      <c r="B82" s="22" t="s">
        <v>48</v>
      </c>
      <c r="C82" s="22" t="s">
        <v>524</v>
      </c>
      <c r="D82" s="21" t="s">
        <v>16</v>
      </c>
      <c r="E82" s="21" t="s">
        <v>29</v>
      </c>
      <c r="F82" s="22" t="s">
        <v>530</v>
      </c>
      <c r="G82" s="22" t="s">
        <v>99</v>
      </c>
      <c r="H82" s="22" t="s">
        <v>531</v>
      </c>
      <c r="I82" s="22" t="s">
        <v>532</v>
      </c>
      <c r="J82" s="22" t="s">
        <v>324</v>
      </c>
      <c r="K82" s="21" t="s">
        <v>40</v>
      </c>
      <c r="L82" s="22" t="s">
        <v>15</v>
      </c>
      <c r="M82" s="23" t="s">
        <v>15</v>
      </c>
      <c r="N82" s="22" t="s">
        <v>15</v>
      </c>
    </row>
    <row r="83" spans="1:14" x14ac:dyDescent="0.25">
      <c r="A83" s="21" t="s">
        <v>533</v>
      </c>
      <c r="B83" s="22" t="s">
        <v>48</v>
      </c>
      <c r="C83" s="22" t="s">
        <v>524</v>
      </c>
      <c r="D83" s="21" t="s">
        <v>24</v>
      </c>
      <c r="E83" s="21" t="s">
        <v>29</v>
      </c>
      <c r="F83" s="22" t="s">
        <v>534</v>
      </c>
      <c r="G83" s="22" t="s">
        <v>99</v>
      </c>
      <c r="H83" s="22" t="s">
        <v>535</v>
      </c>
      <c r="I83" s="22" t="s">
        <v>536</v>
      </c>
      <c r="J83" s="22" t="s">
        <v>537</v>
      </c>
      <c r="K83" s="21" t="s">
        <v>40</v>
      </c>
      <c r="L83" s="22" t="s">
        <v>15</v>
      </c>
      <c r="M83" s="23" t="s">
        <v>15</v>
      </c>
      <c r="N83" s="22" t="s">
        <v>15</v>
      </c>
    </row>
    <row r="84" spans="1:14" x14ac:dyDescent="0.25">
      <c r="A84" s="21" t="s">
        <v>538</v>
      </c>
      <c r="B84" s="22" t="s">
        <v>48</v>
      </c>
      <c r="C84" s="22" t="s">
        <v>524</v>
      </c>
      <c r="D84" s="21" t="s">
        <v>16</v>
      </c>
      <c r="E84" s="21" t="s">
        <v>31</v>
      </c>
      <c r="F84" s="22" t="s">
        <v>539</v>
      </c>
      <c r="G84" s="22" t="s">
        <v>99</v>
      </c>
      <c r="H84" s="22" t="s">
        <v>540</v>
      </c>
      <c r="I84" s="22" t="s">
        <v>541</v>
      </c>
      <c r="J84" s="22" t="s">
        <v>542</v>
      </c>
      <c r="K84" s="21" t="s">
        <v>40</v>
      </c>
      <c r="L84" s="22" t="s">
        <v>15</v>
      </c>
      <c r="M84" s="23" t="s">
        <v>15</v>
      </c>
      <c r="N84" s="22" t="s">
        <v>15</v>
      </c>
    </row>
    <row r="85" spans="1:14" x14ac:dyDescent="0.25">
      <c r="A85" s="21" t="s">
        <v>543</v>
      </c>
      <c r="B85" s="22" t="s">
        <v>48</v>
      </c>
      <c r="C85" s="22" t="s">
        <v>544</v>
      </c>
      <c r="D85" s="21" t="s">
        <v>16</v>
      </c>
      <c r="E85" s="21" t="s">
        <v>29</v>
      </c>
      <c r="F85" s="22" t="s">
        <v>545</v>
      </c>
      <c r="G85" s="22" t="s">
        <v>332</v>
      </c>
      <c r="H85" s="22" t="s">
        <v>546</v>
      </c>
      <c r="I85" s="22" t="s">
        <v>547</v>
      </c>
      <c r="J85" s="22" t="s">
        <v>548</v>
      </c>
      <c r="K85" s="21" t="s">
        <v>40</v>
      </c>
      <c r="L85" s="22" t="s">
        <v>15</v>
      </c>
      <c r="M85" s="23" t="s">
        <v>15</v>
      </c>
      <c r="N85" s="22" t="s">
        <v>15</v>
      </c>
    </row>
    <row r="86" spans="1:14" x14ac:dyDescent="0.25">
      <c r="A86" s="21" t="s">
        <v>549</v>
      </c>
      <c r="B86" s="22" t="s">
        <v>48</v>
      </c>
      <c r="C86" s="22" t="s">
        <v>544</v>
      </c>
      <c r="D86" s="21" t="s">
        <v>20</v>
      </c>
      <c r="E86" s="21" t="s">
        <v>29</v>
      </c>
      <c r="F86" s="22" t="s">
        <v>550</v>
      </c>
      <c r="G86" s="22" t="s">
        <v>551</v>
      </c>
      <c r="H86" s="22" t="s">
        <v>552</v>
      </c>
      <c r="I86" s="22" t="s">
        <v>553</v>
      </c>
      <c r="J86" s="22" t="s">
        <v>554</v>
      </c>
      <c r="K86" s="21" t="s">
        <v>40</v>
      </c>
      <c r="L86" s="22" t="s">
        <v>15</v>
      </c>
      <c r="M86" s="23" t="s">
        <v>15</v>
      </c>
      <c r="N86" s="22" t="s">
        <v>15</v>
      </c>
    </row>
    <row r="87" spans="1:14" x14ac:dyDescent="0.25">
      <c r="A87" s="21" t="s">
        <v>555</v>
      </c>
      <c r="B87" s="22" t="s">
        <v>48</v>
      </c>
      <c r="C87" s="22" t="s">
        <v>544</v>
      </c>
      <c r="D87" s="21" t="s">
        <v>16</v>
      </c>
      <c r="E87" s="21" t="s">
        <v>31</v>
      </c>
      <c r="F87" s="22" t="s">
        <v>556</v>
      </c>
      <c r="G87" s="22" t="s">
        <v>332</v>
      </c>
      <c r="H87" s="22" t="s">
        <v>557</v>
      </c>
      <c r="I87" s="22" t="s">
        <v>558</v>
      </c>
      <c r="J87" s="22" t="s">
        <v>559</v>
      </c>
      <c r="K87" s="21" t="s">
        <v>40</v>
      </c>
      <c r="L87" s="22" t="s">
        <v>15</v>
      </c>
      <c r="M87" s="23" t="s">
        <v>15</v>
      </c>
      <c r="N87" s="22" t="s">
        <v>15</v>
      </c>
    </row>
    <row r="88" spans="1:14" x14ac:dyDescent="0.25">
      <c r="A88" s="21" t="s">
        <v>560</v>
      </c>
      <c r="B88" s="22" t="s">
        <v>48</v>
      </c>
      <c r="C88" s="22" t="s">
        <v>561</v>
      </c>
      <c r="D88" s="21" t="s">
        <v>16</v>
      </c>
      <c r="E88" s="21" t="s">
        <v>27</v>
      </c>
      <c r="F88" s="22" t="s">
        <v>562</v>
      </c>
      <c r="G88" s="22" t="s">
        <v>563</v>
      </c>
      <c r="H88" s="22" t="s">
        <v>564</v>
      </c>
      <c r="I88" s="22" t="s">
        <v>565</v>
      </c>
      <c r="J88" s="22" t="s">
        <v>566</v>
      </c>
      <c r="K88" s="21" t="s">
        <v>40</v>
      </c>
      <c r="L88" s="22" t="s">
        <v>15</v>
      </c>
      <c r="M88" s="23" t="s">
        <v>15</v>
      </c>
      <c r="N88" s="22" t="s">
        <v>15</v>
      </c>
    </row>
    <row r="89" spans="1:14" x14ac:dyDescent="0.25">
      <c r="A89" s="21" t="s">
        <v>567</v>
      </c>
      <c r="B89" s="22" t="s">
        <v>48</v>
      </c>
      <c r="C89" s="22" t="s">
        <v>561</v>
      </c>
      <c r="D89" s="21" t="s">
        <v>16</v>
      </c>
      <c r="E89" s="21" t="s">
        <v>27</v>
      </c>
      <c r="F89" s="22" t="s">
        <v>568</v>
      </c>
      <c r="G89" s="22" t="s">
        <v>569</v>
      </c>
      <c r="H89" s="22" t="s">
        <v>564</v>
      </c>
      <c r="I89" s="22" t="s">
        <v>570</v>
      </c>
      <c r="J89" s="22" t="s">
        <v>571</v>
      </c>
      <c r="K89" s="21" t="s">
        <v>40</v>
      </c>
      <c r="L89" s="22" t="s">
        <v>15</v>
      </c>
      <c r="M89" s="23" t="s">
        <v>15</v>
      </c>
      <c r="N89" s="22" t="s">
        <v>15</v>
      </c>
    </row>
    <row r="90" spans="1:14" x14ac:dyDescent="0.25">
      <c r="A90" s="21" t="s">
        <v>572</v>
      </c>
      <c r="B90" s="22" t="s">
        <v>48</v>
      </c>
      <c r="C90" s="22" t="s">
        <v>561</v>
      </c>
      <c r="D90" s="21" t="s">
        <v>16</v>
      </c>
      <c r="E90" s="21" t="s">
        <v>31</v>
      </c>
      <c r="F90" s="22" t="s">
        <v>573</v>
      </c>
      <c r="G90" s="22" t="s">
        <v>574</v>
      </c>
      <c r="H90" s="22" t="s">
        <v>575</v>
      </c>
      <c r="I90" s="22" t="s">
        <v>576</v>
      </c>
      <c r="J90" s="22" t="s">
        <v>577</v>
      </c>
      <c r="K90" s="21" t="s">
        <v>40</v>
      </c>
      <c r="L90" s="22" t="s">
        <v>15</v>
      </c>
      <c r="M90" s="23" t="s">
        <v>15</v>
      </c>
      <c r="N90" s="22" t="s">
        <v>15</v>
      </c>
    </row>
    <row r="91" spans="1:14" x14ac:dyDescent="0.25">
      <c r="A91" s="21" t="s">
        <v>578</v>
      </c>
      <c r="B91" s="22" t="s">
        <v>51</v>
      </c>
      <c r="C91" s="22" t="s">
        <v>121</v>
      </c>
      <c r="D91" s="21" t="s">
        <v>16</v>
      </c>
      <c r="E91" s="21" t="s">
        <v>27</v>
      </c>
      <c r="F91" s="22" t="s">
        <v>579</v>
      </c>
      <c r="G91" s="22" t="s">
        <v>93</v>
      </c>
      <c r="H91" s="22" t="s">
        <v>327</v>
      </c>
      <c r="I91" s="22" t="s">
        <v>580</v>
      </c>
      <c r="J91" s="22" t="s">
        <v>581</v>
      </c>
      <c r="K91" s="21" t="s">
        <v>40</v>
      </c>
      <c r="L91" s="22" t="s">
        <v>15</v>
      </c>
      <c r="M91" s="23" t="s">
        <v>15</v>
      </c>
      <c r="N91" s="22" t="s">
        <v>15</v>
      </c>
    </row>
    <row r="92" spans="1:14" x14ac:dyDescent="0.25">
      <c r="A92" s="21" t="s">
        <v>582</v>
      </c>
      <c r="B92" s="22" t="s">
        <v>51</v>
      </c>
      <c r="C92" s="22" t="s">
        <v>121</v>
      </c>
      <c r="D92" s="21" t="s">
        <v>16</v>
      </c>
      <c r="E92" s="21" t="s">
        <v>27</v>
      </c>
      <c r="F92" s="22" t="s">
        <v>583</v>
      </c>
      <c r="G92" s="22" t="s">
        <v>93</v>
      </c>
      <c r="H92" s="22" t="s">
        <v>584</v>
      </c>
      <c r="I92" s="22" t="s">
        <v>585</v>
      </c>
      <c r="J92" s="22" t="s">
        <v>586</v>
      </c>
      <c r="K92" s="21" t="s">
        <v>40</v>
      </c>
      <c r="L92" s="22" t="s">
        <v>15</v>
      </c>
      <c r="M92" s="23" t="s">
        <v>15</v>
      </c>
      <c r="N92" s="22" t="s">
        <v>15</v>
      </c>
    </row>
    <row r="93" spans="1:14" x14ac:dyDescent="0.25">
      <c r="A93" s="21" t="s">
        <v>587</v>
      </c>
      <c r="B93" s="22" t="s">
        <v>51</v>
      </c>
      <c r="C93" s="22" t="s">
        <v>588</v>
      </c>
      <c r="D93" s="21" t="s">
        <v>16</v>
      </c>
      <c r="E93" s="21" t="s">
        <v>27</v>
      </c>
      <c r="F93" s="22" t="s">
        <v>589</v>
      </c>
      <c r="G93" s="22" t="s">
        <v>99</v>
      </c>
      <c r="H93" s="22" t="s">
        <v>327</v>
      </c>
      <c r="I93" s="22" t="s">
        <v>590</v>
      </c>
      <c r="J93" s="22" t="s">
        <v>591</v>
      </c>
      <c r="K93" s="21" t="s">
        <v>40</v>
      </c>
      <c r="L93" s="22" t="s">
        <v>15</v>
      </c>
      <c r="M93" s="23" t="s">
        <v>15</v>
      </c>
      <c r="N93" s="22" t="s">
        <v>15</v>
      </c>
    </row>
    <row r="94" spans="1:14" x14ac:dyDescent="0.25">
      <c r="A94" s="21" t="s">
        <v>592</v>
      </c>
      <c r="B94" s="22" t="s">
        <v>51</v>
      </c>
      <c r="C94" s="22" t="s">
        <v>588</v>
      </c>
      <c r="D94" s="21" t="s">
        <v>16</v>
      </c>
      <c r="E94" s="21" t="s">
        <v>29</v>
      </c>
      <c r="F94" s="22" t="s">
        <v>593</v>
      </c>
      <c r="G94" s="22" t="s">
        <v>99</v>
      </c>
      <c r="H94" s="22" t="s">
        <v>594</v>
      </c>
      <c r="I94" s="22" t="s">
        <v>595</v>
      </c>
      <c r="J94" s="22" t="s">
        <v>596</v>
      </c>
      <c r="K94" s="21" t="s">
        <v>40</v>
      </c>
      <c r="L94" s="22" t="s">
        <v>15</v>
      </c>
      <c r="M94" s="23" t="s">
        <v>15</v>
      </c>
      <c r="N94" s="22" t="s">
        <v>15</v>
      </c>
    </row>
    <row r="95" spans="1:14" x14ac:dyDescent="0.25">
      <c r="A95" s="21" t="s">
        <v>597</v>
      </c>
      <c r="B95" s="22" t="s">
        <v>51</v>
      </c>
      <c r="C95" s="22" t="s">
        <v>598</v>
      </c>
      <c r="D95" s="21" t="s">
        <v>16</v>
      </c>
      <c r="E95" s="21" t="s">
        <v>27</v>
      </c>
      <c r="F95" s="22" t="s">
        <v>599</v>
      </c>
      <c r="G95" s="22" t="s">
        <v>99</v>
      </c>
      <c r="H95" s="22" t="s">
        <v>600</v>
      </c>
      <c r="I95" s="22" t="s">
        <v>601</v>
      </c>
      <c r="J95" s="22" t="s">
        <v>602</v>
      </c>
      <c r="K95" s="21" t="s">
        <v>40</v>
      </c>
      <c r="L95" s="22" t="s">
        <v>15</v>
      </c>
      <c r="M95" s="23" t="s">
        <v>15</v>
      </c>
      <c r="N95" s="22" t="s">
        <v>15</v>
      </c>
    </row>
    <row r="96" spans="1:14" x14ac:dyDescent="0.25">
      <c r="A96" s="21" t="s">
        <v>603</v>
      </c>
      <c r="B96" s="22" t="s">
        <v>51</v>
      </c>
      <c r="C96" s="22" t="s">
        <v>598</v>
      </c>
      <c r="D96" s="21" t="s">
        <v>20</v>
      </c>
      <c r="E96" s="21" t="s">
        <v>29</v>
      </c>
      <c r="F96" s="22" t="s">
        <v>604</v>
      </c>
      <c r="G96" s="22" t="s">
        <v>605</v>
      </c>
      <c r="H96" s="22" t="s">
        <v>606</v>
      </c>
      <c r="I96" s="22" t="s">
        <v>607</v>
      </c>
      <c r="J96" s="22" t="s">
        <v>608</v>
      </c>
      <c r="K96" s="21" t="s">
        <v>40</v>
      </c>
      <c r="L96" s="22" t="s">
        <v>15</v>
      </c>
      <c r="M96" s="23" t="s">
        <v>15</v>
      </c>
      <c r="N96" s="22" t="s">
        <v>15</v>
      </c>
    </row>
    <row r="97" spans="1:14" x14ac:dyDescent="0.25">
      <c r="A97" s="21" t="s">
        <v>609</v>
      </c>
      <c r="B97" s="22" t="s">
        <v>51</v>
      </c>
      <c r="C97" s="22" t="s">
        <v>610</v>
      </c>
      <c r="D97" s="21" t="s">
        <v>16</v>
      </c>
      <c r="E97" s="21" t="s">
        <v>27</v>
      </c>
      <c r="F97" s="22" t="s">
        <v>611</v>
      </c>
      <c r="G97" s="22" t="s">
        <v>99</v>
      </c>
      <c r="H97" s="22" t="s">
        <v>612</v>
      </c>
      <c r="I97" s="22" t="s">
        <v>613</v>
      </c>
      <c r="J97" s="22" t="s">
        <v>614</v>
      </c>
      <c r="K97" s="21" t="s">
        <v>40</v>
      </c>
      <c r="L97" s="22" t="s">
        <v>15</v>
      </c>
      <c r="M97" s="23" t="s">
        <v>15</v>
      </c>
      <c r="N97" s="22" t="s">
        <v>15</v>
      </c>
    </row>
    <row r="98" spans="1:14" x14ac:dyDescent="0.25">
      <c r="A98" s="21" t="s">
        <v>615</v>
      </c>
      <c r="B98" s="22" t="s">
        <v>51</v>
      </c>
      <c r="C98" s="22" t="s">
        <v>610</v>
      </c>
      <c r="D98" s="21" t="s">
        <v>16</v>
      </c>
      <c r="E98" s="21" t="s">
        <v>27</v>
      </c>
      <c r="F98" s="22" t="s">
        <v>616</v>
      </c>
      <c r="G98" s="22" t="s">
        <v>99</v>
      </c>
      <c r="H98" s="22" t="s">
        <v>617</v>
      </c>
      <c r="I98" s="22" t="s">
        <v>618</v>
      </c>
      <c r="J98" s="22" t="s">
        <v>619</v>
      </c>
      <c r="K98" s="21" t="s">
        <v>40</v>
      </c>
      <c r="L98" s="22" t="s">
        <v>15</v>
      </c>
      <c r="M98" s="23" t="s">
        <v>15</v>
      </c>
      <c r="N98" s="22" t="s">
        <v>15</v>
      </c>
    </row>
    <row r="99" spans="1:14" x14ac:dyDescent="0.25">
      <c r="A99" s="21" t="s">
        <v>620</v>
      </c>
      <c r="B99" s="22" t="s">
        <v>51</v>
      </c>
      <c r="C99" s="22" t="s">
        <v>610</v>
      </c>
      <c r="D99" s="21" t="s">
        <v>16</v>
      </c>
      <c r="E99" s="21" t="s">
        <v>29</v>
      </c>
      <c r="F99" s="22" t="s">
        <v>621</v>
      </c>
      <c r="G99" s="22" t="s">
        <v>99</v>
      </c>
      <c r="H99" s="22" t="s">
        <v>622</v>
      </c>
      <c r="I99" s="22" t="s">
        <v>623</v>
      </c>
      <c r="J99" s="22" t="s">
        <v>624</v>
      </c>
      <c r="K99" s="21" t="s">
        <v>40</v>
      </c>
      <c r="L99" s="22" t="s">
        <v>15</v>
      </c>
      <c r="M99" s="23" t="s">
        <v>15</v>
      </c>
      <c r="N99" s="22" t="s">
        <v>15</v>
      </c>
    </row>
    <row r="100" spans="1:14" x14ac:dyDescent="0.25">
      <c r="A100" s="21" t="s">
        <v>625</v>
      </c>
      <c r="B100" s="22" t="s">
        <v>51</v>
      </c>
      <c r="C100" s="22" t="s">
        <v>610</v>
      </c>
      <c r="D100" s="21" t="s">
        <v>16</v>
      </c>
      <c r="E100" s="21" t="s">
        <v>29</v>
      </c>
      <c r="F100" s="22" t="s">
        <v>626</v>
      </c>
      <c r="G100" s="22" t="s">
        <v>99</v>
      </c>
      <c r="H100" s="22" t="s">
        <v>627</v>
      </c>
      <c r="I100" s="22" t="s">
        <v>628</v>
      </c>
      <c r="J100" s="22" t="s">
        <v>629</v>
      </c>
      <c r="K100" s="21" t="s">
        <v>40</v>
      </c>
      <c r="L100" s="22" t="s">
        <v>15</v>
      </c>
      <c r="M100" s="23" t="s">
        <v>15</v>
      </c>
      <c r="N100" s="22" t="s">
        <v>15</v>
      </c>
    </row>
    <row r="101" spans="1:14" x14ac:dyDescent="0.25">
      <c r="A101" s="21" t="s">
        <v>630</v>
      </c>
      <c r="B101" s="22" t="s">
        <v>51</v>
      </c>
      <c r="C101" s="22" t="s">
        <v>610</v>
      </c>
      <c r="D101" s="21" t="s">
        <v>16</v>
      </c>
      <c r="E101" s="21" t="s">
        <v>29</v>
      </c>
      <c r="F101" s="22" t="s">
        <v>631</v>
      </c>
      <c r="G101" s="22" t="s">
        <v>99</v>
      </c>
      <c r="H101" s="22" t="s">
        <v>632</v>
      </c>
      <c r="I101" s="22" t="s">
        <v>633</v>
      </c>
      <c r="J101" s="22" t="s">
        <v>629</v>
      </c>
      <c r="K101" s="21" t="s">
        <v>40</v>
      </c>
      <c r="L101" s="22" t="s">
        <v>15</v>
      </c>
      <c r="M101" s="23" t="s">
        <v>15</v>
      </c>
      <c r="N101" s="22" t="s">
        <v>15</v>
      </c>
    </row>
    <row r="102" spans="1:14" x14ac:dyDescent="0.25">
      <c r="A102" s="21" t="s">
        <v>634</v>
      </c>
      <c r="B102" s="22" t="s">
        <v>51</v>
      </c>
      <c r="C102" s="22" t="s">
        <v>610</v>
      </c>
      <c r="D102" s="21" t="s">
        <v>16</v>
      </c>
      <c r="E102" s="21" t="s">
        <v>29</v>
      </c>
      <c r="F102" s="22" t="s">
        <v>635</v>
      </c>
      <c r="G102" s="22" t="s">
        <v>99</v>
      </c>
      <c r="H102" s="22" t="s">
        <v>636</v>
      </c>
      <c r="I102" s="22" t="s">
        <v>637</v>
      </c>
      <c r="J102" s="22" t="s">
        <v>629</v>
      </c>
      <c r="K102" s="21" t="s">
        <v>40</v>
      </c>
      <c r="L102" s="22" t="s">
        <v>15</v>
      </c>
      <c r="M102" s="23" t="s">
        <v>15</v>
      </c>
      <c r="N102" s="22" t="s">
        <v>15</v>
      </c>
    </row>
    <row r="103" spans="1:14" x14ac:dyDescent="0.25">
      <c r="A103" s="21" t="s">
        <v>638</v>
      </c>
      <c r="B103" s="22" t="s">
        <v>51</v>
      </c>
      <c r="C103" s="22" t="s">
        <v>639</v>
      </c>
      <c r="D103" s="21" t="s">
        <v>16</v>
      </c>
      <c r="E103" s="21" t="s">
        <v>27</v>
      </c>
      <c r="F103" s="22" t="s">
        <v>640</v>
      </c>
      <c r="G103" s="22" t="s">
        <v>641</v>
      </c>
      <c r="H103" s="22" t="s">
        <v>642</v>
      </c>
      <c r="I103" s="22" t="s">
        <v>643</v>
      </c>
      <c r="J103" s="22" t="s">
        <v>644</v>
      </c>
      <c r="K103" s="21" t="s">
        <v>40</v>
      </c>
      <c r="L103" s="22" t="s">
        <v>15</v>
      </c>
      <c r="M103" s="23" t="s">
        <v>15</v>
      </c>
      <c r="N103" s="22" t="s">
        <v>15</v>
      </c>
    </row>
    <row r="104" spans="1:14" x14ac:dyDescent="0.25">
      <c r="A104" s="21" t="s">
        <v>645</v>
      </c>
      <c r="B104" s="22" t="s">
        <v>51</v>
      </c>
      <c r="C104" s="22" t="s">
        <v>639</v>
      </c>
      <c r="D104" s="21" t="s">
        <v>20</v>
      </c>
      <c r="E104" s="21" t="s">
        <v>27</v>
      </c>
      <c r="F104" s="22" t="s">
        <v>646</v>
      </c>
      <c r="G104" s="22" t="s">
        <v>647</v>
      </c>
      <c r="H104" s="22" t="s">
        <v>642</v>
      </c>
      <c r="I104" s="22" t="s">
        <v>648</v>
      </c>
      <c r="J104" s="22" t="s">
        <v>649</v>
      </c>
      <c r="K104" s="21" t="s">
        <v>40</v>
      </c>
      <c r="L104" s="22" t="s">
        <v>15</v>
      </c>
      <c r="M104" s="23" t="s">
        <v>15</v>
      </c>
      <c r="N104" s="22" t="s">
        <v>15</v>
      </c>
    </row>
    <row r="105" spans="1:14" x14ac:dyDescent="0.25">
      <c r="A105" s="21" t="s">
        <v>650</v>
      </c>
      <c r="B105" s="22" t="s">
        <v>51</v>
      </c>
      <c r="C105" s="22" t="s">
        <v>639</v>
      </c>
      <c r="D105" s="21" t="s">
        <v>20</v>
      </c>
      <c r="E105" s="21" t="s">
        <v>27</v>
      </c>
      <c r="F105" s="22" t="s">
        <v>651</v>
      </c>
      <c r="G105" s="22" t="s">
        <v>652</v>
      </c>
      <c r="H105" s="22" t="s">
        <v>653</v>
      </c>
      <c r="I105" s="22" t="s">
        <v>654</v>
      </c>
      <c r="J105" s="22" t="s">
        <v>649</v>
      </c>
      <c r="K105" s="21" t="s">
        <v>40</v>
      </c>
      <c r="L105" s="22" t="s">
        <v>15</v>
      </c>
      <c r="M105" s="23" t="s">
        <v>15</v>
      </c>
      <c r="N105" s="22" t="s">
        <v>15</v>
      </c>
    </row>
    <row r="106" spans="1:14" x14ac:dyDescent="0.25">
      <c r="A106" s="21" t="s">
        <v>655</v>
      </c>
      <c r="B106" s="22" t="s">
        <v>51</v>
      </c>
      <c r="C106" s="22" t="s">
        <v>639</v>
      </c>
      <c r="D106" s="21" t="s">
        <v>20</v>
      </c>
      <c r="E106" s="21" t="s">
        <v>29</v>
      </c>
      <c r="F106" s="22" t="s">
        <v>656</v>
      </c>
      <c r="G106" s="22" t="s">
        <v>657</v>
      </c>
      <c r="H106" s="22" t="s">
        <v>642</v>
      </c>
      <c r="I106" s="22" t="s">
        <v>658</v>
      </c>
      <c r="J106" s="22" t="s">
        <v>649</v>
      </c>
      <c r="K106" s="21" t="s">
        <v>40</v>
      </c>
      <c r="L106" s="22" t="s">
        <v>15</v>
      </c>
      <c r="M106" s="23" t="s">
        <v>15</v>
      </c>
      <c r="N106" s="22" t="s">
        <v>15</v>
      </c>
    </row>
    <row r="107" spans="1:14" x14ac:dyDescent="0.25">
      <c r="A107" s="21" t="s">
        <v>659</v>
      </c>
      <c r="B107" s="22" t="s">
        <v>51</v>
      </c>
      <c r="C107" s="22" t="s">
        <v>660</v>
      </c>
      <c r="D107" s="21" t="s">
        <v>16</v>
      </c>
      <c r="E107" s="21" t="s">
        <v>27</v>
      </c>
      <c r="F107" s="22" t="s">
        <v>661</v>
      </c>
      <c r="G107" s="22" t="s">
        <v>99</v>
      </c>
      <c r="H107" s="22" t="s">
        <v>662</v>
      </c>
      <c r="I107" s="22" t="s">
        <v>663</v>
      </c>
      <c r="J107" s="22" t="s">
        <v>664</v>
      </c>
      <c r="K107" s="21" t="s">
        <v>40</v>
      </c>
      <c r="L107" s="22" t="s">
        <v>15</v>
      </c>
      <c r="M107" s="23" t="s">
        <v>15</v>
      </c>
      <c r="N107" s="22" t="s">
        <v>15</v>
      </c>
    </row>
    <row r="108" spans="1:14" x14ac:dyDescent="0.25">
      <c r="A108" s="21" t="s">
        <v>665</v>
      </c>
      <c r="B108" s="22" t="s">
        <v>51</v>
      </c>
      <c r="C108" s="22" t="s">
        <v>660</v>
      </c>
      <c r="D108" s="21" t="s">
        <v>16</v>
      </c>
      <c r="E108" s="21" t="s">
        <v>29</v>
      </c>
      <c r="F108" s="22" t="s">
        <v>666</v>
      </c>
      <c r="G108" s="22" t="s">
        <v>99</v>
      </c>
      <c r="H108" s="22" t="s">
        <v>667</v>
      </c>
      <c r="I108" s="22" t="s">
        <v>668</v>
      </c>
      <c r="J108" s="22" t="s">
        <v>664</v>
      </c>
      <c r="K108" s="21" t="s">
        <v>40</v>
      </c>
      <c r="L108" s="22" t="s">
        <v>15</v>
      </c>
      <c r="M108" s="23" t="s">
        <v>15</v>
      </c>
      <c r="N108" s="22" t="s">
        <v>15</v>
      </c>
    </row>
    <row r="109" spans="1:14" x14ac:dyDescent="0.25">
      <c r="A109" s="21" t="s">
        <v>669</v>
      </c>
      <c r="B109" s="22" t="s">
        <v>51</v>
      </c>
      <c r="C109" s="22" t="s">
        <v>660</v>
      </c>
      <c r="D109" s="21" t="s">
        <v>16</v>
      </c>
      <c r="E109" s="21" t="s">
        <v>29</v>
      </c>
      <c r="F109" s="22" t="s">
        <v>670</v>
      </c>
      <c r="G109" s="22" t="s">
        <v>671</v>
      </c>
      <c r="H109" s="22" t="s">
        <v>672</v>
      </c>
      <c r="I109" s="22" t="s">
        <v>673</v>
      </c>
      <c r="J109" s="22" t="s">
        <v>664</v>
      </c>
      <c r="K109" s="21" t="s">
        <v>40</v>
      </c>
      <c r="L109" s="22" t="s">
        <v>15</v>
      </c>
      <c r="M109" s="23" t="s">
        <v>15</v>
      </c>
      <c r="N109" s="22" t="s">
        <v>15</v>
      </c>
    </row>
    <row r="110" spans="1:14" x14ac:dyDescent="0.25">
      <c r="A110" s="21" t="s">
        <v>674</v>
      </c>
      <c r="B110" s="22" t="s">
        <v>51</v>
      </c>
      <c r="C110" s="22" t="s">
        <v>660</v>
      </c>
      <c r="D110" s="21" t="s">
        <v>16</v>
      </c>
      <c r="E110" s="21" t="s">
        <v>29</v>
      </c>
      <c r="F110" s="22" t="s">
        <v>675</v>
      </c>
      <c r="G110" s="22" t="s">
        <v>676</v>
      </c>
      <c r="H110" s="22" t="s">
        <v>677</v>
      </c>
      <c r="I110" s="22" t="s">
        <v>678</v>
      </c>
      <c r="J110" s="22" t="s">
        <v>664</v>
      </c>
      <c r="K110" s="21" t="s">
        <v>40</v>
      </c>
      <c r="L110" s="22" t="s">
        <v>15</v>
      </c>
      <c r="M110" s="23" t="s">
        <v>15</v>
      </c>
      <c r="N110" s="22" t="s">
        <v>15</v>
      </c>
    </row>
    <row r="111" spans="1:14" x14ac:dyDescent="0.25">
      <c r="A111" s="21" t="s">
        <v>679</v>
      </c>
      <c r="B111" s="22" t="s">
        <v>51</v>
      </c>
      <c r="C111" s="22" t="s">
        <v>660</v>
      </c>
      <c r="D111" s="21" t="s">
        <v>16</v>
      </c>
      <c r="E111" s="21" t="s">
        <v>29</v>
      </c>
      <c r="F111" s="22" t="s">
        <v>680</v>
      </c>
      <c r="G111" s="22" t="s">
        <v>99</v>
      </c>
      <c r="H111" s="22" t="s">
        <v>681</v>
      </c>
      <c r="I111" s="22" t="s">
        <v>682</v>
      </c>
      <c r="J111" s="22" t="s">
        <v>683</v>
      </c>
      <c r="K111" s="21" t="s">
        <v>40</v>
      </c>
      <c r="L111" s="22" t="s">
        <v>15</v>
      </c>
      <c r="M111" s="23" t="s">
        <v>15</v>
      </c>
      <c r="N111" s="22" t="s">
        <v>15</v>
      </c>
    </row>
    <row r="112" spans="1:14" x14ac:dyDescent="0.25">
      <c r="A112" s="21" t="s">
        <v>684</v>
      </c>
      <c r="B112" s="22" t="s">
        <v>51</v>
      </c>
      <c r="C112" s="22" t="s">
        <v>685</v>
      </c>
      <c r="D112" s="21" t="s">
        <v>20</v>
      </c>
      <c r="E112" s="21" t="s">
        <v>29</v>
      </c>
      <c r="F112" s="22" t="s">
        <v>686</v>
      </c>
      <c r="G112" s="22" t="s">
        <v>687</v>
      </c>
      <c r="H112" s="22" t="s">
        <v>688</v>
      </c>
      <c r="I112" s="22" t="s">
        <v>689</v>
      </c>
      <c r="J112" s="22" t="s">
        <v>690</v>
      </c>
      <c r="K112" s="21" t="s">
        <v>40</v>
      </c>
      <c r="L112" s="22" t="s">
        <v>15</v>
      </c>
      <c r="M112" s="23" t="s">
        <v>15</v>
      </c>
      <c r="N112" s="22" t="s">
        <v>15</v>
      </c>
    </row>
    <row r="113" spans="1:14" x14ac:dyDescent="0.25">
      <c r="A113" s="21" t="s">
        <v>691</v>
      </c>
      <c r="B113" s="22" t="s">
        <v>51</v>
      </c>
      <c r="C113" s="22" t="s">
        <v>692</v>
      </c>
      <c r="D113" s="21" t="s">
        <v>16</v>
      </c>
      <c r="E113" s="21" t="s">
        <v>29</v>
      </c>
      <c r="F113" s="22" t="s">
        <v>693</v>
      </c>
      <c r="G113" s="22" t="s">
        <v>694</v>
      </c>
      <c r="H113" s="22" t="s">
        <v>695</v>
      </c>
      <c r="I113" s="22" t="s">
        <v>696</v>
      </c>
      <c r="J113" s="22" t="s">
        <v>624</v>
      </c>
      <c r="K113" s="21" t="s">
        <v>40</v>
      </c>
      <c r="L113" s="22" t="s">
        <v>15</v>
      </c>
      <c r="M113" s="23" t="s">
        <v>15</v>
      </c>
      <c r="N113" s="22" t="s">
        <v>15</v>
      </c>
    </row>
    <row r="114" spans="1:14" x14ac:dyDescent="0.25">
      <c r="A114" s="21" t="s">
        <v>697</v>
      </c>
      <c r="B114" s="22" t="s">
        <v>51</v>
      </c>
      <c r="C114" s="22" t="s">
        <v>698</v>
      </c>
      <c r="D114" s="21" t="s">
        <v>16</v>
      </c>
      <c r="E114" s="21" t="s">
        <v>29</v>
      </c>
      <c r="F114" s="22" t="s">
        <v>699</v>
      </c>
      <c r="G114" s="22" t="s">
        <v>700</v>
      </c>
      <c r="H114" s="22" t="s">
        <v>701</v>
      </c>
      <c r="I114" s="22" t="s">
        <v>702</v>
      </c>
      <c r="J114" s="22" t="s">
        <v>703</v>
      </c>
      <c r="K114" s="21" t="s">
        <v>40</v>
      </c>
      <c r="L114" s="22" t="s">
        <v>15</v>
      </c>
      <c r="M114" s="23" t="s">
        <v>15</v>
      </c>
      <c r="N114" s="22" t="s">
        <v>15</v>
      </c>
    </row>
    <row r="115" spans="1:14" x14ac:dyDescent="0.25">
      <c r="A115" s="21" t="s">
        <v>704</v>
      </c>
      <c r="B115" s="22" t="s">
        <v>51</v>
      </c>
      <c r="C115" s="22" t="s">
        <v>705</v>
      </c>
      <c r="D115" s="21" t="s">
        <v>16</v>
      </c>
      <c r="E115" s="21" t="s">
        <v>27</v>
      </c>
      <c r="F115" s="22" t="s">
        <v>706</v>
      </c>
      <c r="G115" s="22" t="s">
        <v>707</v>
      </c>
      <c r="H115" s="22" t="s">
        <v>708</v>
      </c>
      <c r="I115" s="22" t="s">
        <v>709</v>
      </c>
      <c r="J115" s="22" t="s">
        <v>710</v>
      </c>
      <c r="K115" s="21" t="s">
        <v>40</v>
      </c>
      <c r="L115" s="22" t="s">
        <v>15</v>
      </c>
      <c r="M115" s="23" t="s">
        <v>15</v>
      </c>
      <c r="N115" s="22" t="s">
        <v>15</v>
      </c>
    </row>
    <row r="116" spans="1:14" x14ac:dyDescent="0.25">
      <c r="A116" s="21" t="s">
        <v>711</v>
      </c>
      <c r="B116" s="22" t="s">
        <v>51</v>
      </c>
      <c r="C116" s="22" t="s">
        <v>705</v>
      </c>
      <c r="D116" s="21" t="s">
        <v>16</v>
      </c>
      <c r="E116" s="21" t="s">
        <v>27</v>
      </c>
      <c r="F116" s="22" t="s">
        <v>712</v>
      </c>
      <c r="G116" s="22" t="s">
        <v>713</v>
      </c>
      <c r="H116" s="22" t="s">
        <v>708</v>
      </c>
      <c r="I116" s="22" t="s">
        <v>714</v>
      </c>
      <c r="J116" s="22" t="s">
        <v>715</v>
      </c>
      <c r="K116" s="21" t="s">
        <v>40</v>
      </c>
      <c r="L116" s="22" t="s">
        <v>15</v>
      </c>
      <c r="M116" s="23" t="s">
        <v>15</v>
      </c>
      <c r="N116" s="22" t="s">
        <v>15</v>
      </c>
    </row>
    <row r="117" spans="1:14" x14ac:dyDescent="0.25">
      <c r="A117" s="21" t="s">
        <v>716</v>
      </c>
      <c r="B117" s="22" t="s">
        <v>51</v>
      </c>
      <c r="C117" s="22" t="s">
        <v>705</v>
      </c>
      <c r="D117" s="21" t="s">
        <v>16</v>
      </c>
      <c r="E117" s="21" t="s">
        <v>27</v>
      </c>
      <c r="F117" s="22" t="s">
        <v>717</v>
      </c>
      <c r="G117" s="22" t="s">
        <v>718</v>
      </c>
      <c r="H117" s="22" t="s">
        <v>708</v>
      </c>
      <c r="I117" s="22" t="s">
        <v>719</v>
      </c>
      <c r="J117" s="22" t="s">
        <v>715</v>
      </c>
      <c r="K117" s="21" t="s">
        <v>40</v>
      </c>
      <c r="L117" s="22" t="s">
        <v>15</v>
      </c>
      <c r="M117" s="23" t="s">
        <v>15</v>
      </c>
      <c r="N117" s="22" t="s">
        <v>15</v>
      </c>
    </row>
    <row r="118" spans="1:14" x14ac:dyDescent="0.25">
      <c r="A118" s="21" t="s">
        <v>720</v>
      </c>
      <c r="B118" s="22" t="s">
        <v>51</v>
      </c>
      <c r="C118" s="22" t="s">
        <v>705</v>
      </c>
      <c r="D118" s="21" t="s">
        <v>24</v>
      </c>
      <c r="E118" s="21" t="s">
        <v>27</v>
      </c>
      <c r="F118" s="22" t="s">
        <v>721</v>
      </c>
      <c r="G118" s="22" t="s">
        <v>722</v>
      </c>
      <c r="H118" s="22" t="s">
        <v>723</v>
      </c>
      <c r="I118" s="22" t="s">
        <v>724</v>
      </c>
      <c r="J118" s="22" t="s">
        <v>725</v>
      </c>
      <c r="K118" s="21" t="s">
        <v>40</v>
      </c>
      <c r="L118" s="22" t="s">
        <v>15</v>
      </c>
      <c r="M118" s="23" t="s">
        <v>15</v>
      </c>
      <c r="N118" s="22" t="s">
        <v>15</v>
      </c>
    </row>
    <row r="119" spans="1:14" x14ac:dyDescent="0.25">
      <c r="A119" s="21" t="s">
        <v>726</v>
      </c>
      <c r="B119" s="22" t="s">
        <v>51</v>
      </c>
      <c r="C119" s="22" t="s">
        <v>727</v>
      </c>
      <c r="D119" s="21" t="s">
        <v>18</v>
      </c>
      <c r="E119" s="21" t="s">
        <v>27</v>
      </c>
      <c r="F119" s="22" t="s">
        <v>728</v>
      </c>
      <c r="G119" s="22" t="s">
        <v>729</v>
      </c>
      <c r="H119" s="22" t="s">
        <v>730</v>
      </c>
      <c r="I119" s="22" t="s">
        <v>731</v>
      </c>
      <c r="J119" s="22" t="s">
        <v>732</v>
      </c>
      <c r="K119" s="21" t="s">
        <v>40</v>
      </c>
      <c r="L119" s="22" t="s">
        <v>15</v>
      </c>
      <c r="M119" s="23" t="s">
        <v>15</v>
      </c>
      <c r="N119" s="22" t="s">
        <v>15</v>
      </c>
    </row>
    <row r="120" spans="1:14" x14ac:dyDescent="0.25">
      <c r="A120" s="21" t="s">
        <v>733</v>
      </c>
      <c r="B120" s="22" t="s">
        <v>51</v>
      </c>
      <c r="C120" s="22" t="s">
        <v>727</v>
      </c>
      <c r="D120" s="21" t="s">
        <v>18</v>
      </c>
      <c r="E120" s="21" t="s">
        <v>27</v>
      </c>
      <c r="F120" s="22" t="s">
        <v>734</v>
      </c>
      <c r="G120" s="22" t="s">
        <v>735</v>
      </c>
      <c r="H120" s="22" t="s">
        <v>730</v>
      </c>
      <c r="I120" s="22" t="s">
        <v>736</v>
      </c>
      <c r="J120" s="22" t="s">
        <v>732</v>
      </c>
      <c r="K120" s="21" t="s">
        <v>40</v>
      </c>
      <c r="L120" s="22" t="s">
        <v>15</v>
      </c>
      <c r="M120" s="23" t="s">
        <v>15</v>
      </c>
      <c r="N120" s="22" t="s">
        <v>15</v>
      </c>
    </row>
    <row r="121" spans="1:14" x14ac:dyDescent="0.25">
      <c r="A121" s="21" t="s">
        <v>737</v>
      </c>
      <c r="B121" s="22" t="s">
        <v>51</v>
      </c>
      <c r="C121" s="22" t="s">
        <v>727</v>
      </c>
      <c r="D121" s="21" t="s">
        <v>18</v>
      </c>
      <c r="E121" s="21" t="s">
        <v>27</v>
      </c>
      <c r="F121" s="22" t="s">
        <v>738</v>
      </c>
      <c r="G121" s="22" t="s">
        <v>739</v>
      </c>
      <c r="H121" s="22" t="s">
        <v>730</v>
      </c>
      <c r="I121" s="22" t="s">
        <v>740</v>
      </c>
      <c r="J121" s="22" t="s">
        <v>732</v>
      </c>
      <c r="K121" s="21" t="s">
        <v>40</v>
      </c>
      <c r="L121" s="22" t="s">
        <v>15</v>
      </c>
      <c r="M121" s="23" t="s">
        <v>15</v>
      </c>
      <c r="N121" s="22" t="s">
        <v>15</v>
      </c>
    </row>
    <row r="122" spans="1:14" x14ac:dyDescent="0.25">
      <c r="A122" s="21" t="s">
        <v>741</v>
      </c>
      <c r="B122" s="22" t="s">
        <v>51</v>
      </c>
      <c r="C122" s="22" t="s">
        <v>727</v>
      </c>
      <c r="D122" s="21" t="s">
        <v>18</v>
      </c>
      <c r="E122" s="21" t="s">
        <v>27</v>
      </c>
      <c r="F122" s="22" t="s">
        <v>742</v>
      </c>
      <c r="G122" s="22" t="s">
        <v>743</v>
      </c>
      <c r="H122" s="22" t="s">
        <v>730</v>
      </c>
      <c r="I122" s="22" t="s">
        <v>744</v>
      </c>
      <c r="J122" s="22" t="s">
        <v>732</v>
      </c>
      <c r="K122" s="21" t="s">
        <v>40</v>
      </c>
      <c r="L122" s="22" t="s">
        <v>15</v>
      </c>
      <c r="M122" s="23" t="s">
        <v>15</v>
      </c>
      <c r="N122" s="22" t="s">
        <v>15</v>
      </c>
    </row>
    <row r="123" spans="1:14" x14ac:dyDescent="0.25">
      <c r="A123" s="21" t="s">
        <v>745</v>
      </c>
      <c r="B123" s="22" t="s">
        <v>51</v>
      </c>
      <c r="C123" s="22" t="s">
        <v>727</v>
      </c>
      <c r="D123" s="21" t="s">
        <v>18</v>
      </c>
      <c r="E123" s="21" t="s">
        <v>27</v>
      </c>
      <c r="F123" s="22" t="s">
        <v>746</v>
      </c>
      <c r="G123" s="22" t="s">
        <v>747</v>
      </c>
      <c r="H123" s="22" t="s">
        <v>730</v>
      </c>
      <c r="I123" s="22" t="s">
        <v>748</v>
      </c>
      <c r="J123" s="22" t="s">
        <v>732</v>
      </c>
      <c r="K123" s="21" t="s">
        <v>40</v>
      </c>
      <c r="L123" s="22" t="s">
        <v>15</v>
      </c>
      <c r="M123" s="23" t="s">
        <v>15</v>
      </c>
      <c r="N123" s="22" t="s">
        <v>15</v>
      </c>
    </row>
    <row r="124" spans="1:14" x14ac:dyDescent="0.25">
      <c r="A124" s="21" t="s">
        <v>749</v>
      </c>
      <c r="B124" s="22" t="s">
        <v>51</v>
      </c>
      <c r="C124" s="22" t="s">
        <v>727</v>
      </c>
      <c r="D124" s="21" t="s">
        <v>18</v>
      </c>
      <c r="E124" s="21" t="s">
        <v>27</v>
      </c>
      <c r="F124" s="22" t="s">
        <v>750</v>
      </c>
      <c r="G124" s="22" t="s">
        <v>751</v>
      </c>
      <c r="H124" s="22" t="s">
        <v>730</v>
      </c>
      <c r="I124" s="22" t="s">
        <v>752</v>
      </c>
      <c r="J124" s="22" t="s">
        <v>732</v>
      </c>
      <c r="K124" s="21" t="s">
        <v>40</v>
      </c>
      <c r="L124" s="22" t="s">
        <v>15</v>
      </c>
      <c r="M124" s="23" t="s">
        <v>15</v>
      </c>
      <c r="N124" s="22" t="s">
        <v>15</v>
      </c>
    </row>
    <row r="125" spans="1:14" x14ac:dyDescent="0.25">
      <c r="A125" s="21" t="s">
        <v>753</v>
      </c>
      <c r="B125" s="22" t="s">
        <v>51</v>
      </c>
      <c r="C125" s="22" t="s">
        <v>727</v>
      </c>
      <c r="D125" s="21" t="s">
        <v>18</v>
      </c>
      <c r="E125" s="21" t="s">
        <v>27</v>
      </c>
      <c r="F125" s="22" t="s">
        <v>754</v>
      </c>
      <c r="G125" s="22" t="s">
        <v>755</v>
      </c>
      <c r="H125" s="22" t="s">
        <v>730</v>
      </c>
      <c r="I125" s="22" t="s">
        <v>756</v>
      </c>
      <c r="J125" s="22" t="s">
        <v>732</v>
      </c>
      <c r="K125" s="21" t="s">
        <v>40</v>
      </c>
      <c r="L125" s="22" t="s">
        <v>15</v>
      </c>
      <c r="M125" s="23" t="s">
        <v>15</v>
      </c>
      <c r="N125" s="22" t="s">
        <v>15</v>
      </c>
    </row>
    <row r="126" spans="1:14" x14ac:dyDescent="0.25">
      <c r="A126" s="21" t="s">
        <v>757</v>
      </c>
      <c r="B126" s="22" t="s">
        <v>51</v>
      </c>
      <c r="C126" s="22" t="s">
        <v>727</v>
      </c>
      <c r="D126" s="21" t="s">
        <v>18</v>
      </c>
      <c r="E126" s="21" t="s">
        <v>27</v>
      </c>
      <c r="F126" s="22" t="s">
        <v>758</v>
      </c>
      <c r="G126" s="22" t="s">
        <v>759</v>
      </c>
      <c r="H126" s="22" t="s">
        <v>730</v>
      </c>
      <c r="I126" s="22" t="s">
        <v>760</v>
      </c>
      <c r="J126" s="22" t="s">
        <v>732</v>
      </c>
      <c r="K126" s="21" t="s">
        <v>40</v>
      </c>
      <c r="L126" s="22" t="s">
        <v>15</v>
      </c>
      <c r="M126" s="23" t="s">
        <v>15</v>
      </c>
      <c r="N126" s="22" t="s">
        <v>15</v>
      </c>
    </row>
    <row r="127" spans="1:14" x14ac:dyDescent="0.25">
      <c r="A127" s="21" t="s">
        <v>761</v>
      </c>
      <c r="B127" s="22" t="s">
        <v>51</v>
      </c>
      <c r="C127" s="22" t="s">
        <v>727</v>
      </c>
      <c r="D127" s="21" t="s">
        <v>18</v>
      </c>
      <c r="E127" s="21" t="s">
        <v>27</v>
      </c>
      <c r="F127" s="22" t="s">
        <v>762</v>
      </c>
      <c r="G127" s="22" t="s">
        <v>763</v>
      </c>
      <c r="H127" s="22" t="s">
        <v>730</v>
      </c>
      <c r="I127" s="22" t="s">
        <v>764</v>
      </c>
      <c r="J127" s="22" t="s">
        <v>732</v>
      </c>
      <c r="K127" s="21" t="s">
        <v>40</v>
      </c>
      <c r="L127" s="22" t="s">
        <v>15</v>
      </c>
      <c r="M127" s="23" t="s">
        <v>15</v>
      </c>
      <c r="N127" s="22" t="s">
        <v>15</v>
      </c>
    </row>
    <row r="128" spans="1:14" x14ac:dyDescent="0.25">
      <c r="A128" s="21" t="s">
        <v>765</v>
      </c>
      <c r="B128" s="22" t="s">
        <v>51</v>
      </c>
      <c r="C128" s="22" t="s">
        <v>727</v>
      </c>
      <c r="D128" s="21" t="s">
        <v>18</v>
      </c>
      <c r="E128" s="21" t="s">
        <v>27</v>
      </c>
      <c r="F128" s="22" t="s">
        <v>766</v>
      </c>
      <c r="G128" s="22" t="s">
        <v>767</v>
      </c>
      <c r="H128" s="22" t="s">
        <v>730</v>
      </c>
      <c r="I128" s="22" t="s">
        <v>768</v>
      </c>
      <c r="J128" s="22" t="s">
        <v>732</v>
      </c>
      <c r="K128" s="21" t="s">
        <v>40</v>
      </c>
      <c r="L128" s="22" t="s">
        <v>15</v>
      </c>
      <c r="M128" s="23" t="s">
        <v>15</v>
      </c>
      <c r="N128" s="22" t="s">
        <v>15</v>
      </c>
    </row>
    <row r="129" spans="1:14" x14ac:dyDescent="0.25">
      <c r="A129" s="21" t="s">
        <v>769</v>
      </c>
      <c r="B129" s="22" t="s">
        <v>51</v>
      </c>
      <c r="C129" s="22" t="s">
        <v>727</v>
      </c>
      <c r="D129" s="21" t="s">
        <v>18</v>
      </c>
      <c r="E129" s="21" t="s">
        <v>27</v>
      </c>
      <c r="F129" s="22" t="s">
        <v>770</v>
      </c>
      <c r="G129" s="22" t="s">
        <v>771</v>
      </c>
      <c r="H129" s="22" t="s">
        <v>730</v>
      </c>
      <c r="I129" s="22" t="s">
        <v>772</v>
      </c>
      <c r="J129" s="22" t="s">
        <v>732</v>
      </c>
      <c r="K129" s="21" t="s">
        <v>40</v>
      </c>
      <c r="L129" s="22" t="s">
        <v>15</v>
      </c>
      <c r="M129" s="23" t="s">
        <v>15</v>
      </c>
      <c r="N129" s="22" t="s">
        <v>15</v>
      </c>
    </row>
    <row r="130" spans="1:14" x14ac:dyDescent="0.25">
      <c r="A130" s="21" t="s">
        <v>773</v>
      </c>
      <c r="B130" s="22" t="s">
        <v>51</v>
      </c>
      <c r="C130" s="22" t="s">
        <v>727</v>
      </c>
      <c r="D130" s="21" t="s">
        <v>18</v>
      </c>
      <c r="E130" s="21" t="s">
        <v>27</v>
      </c>
      <c r="F130" s="22" t="s">
        <v>774</v>
      </c>
      <c r="G130" s="22" t="s">
        <v>775</v>
      </c>
      <c r="H130" s="22" t="s">
        <v>730</v>
      </c>
      <c r="I130" s="22" t="s">
        <v>776</v>
      </c>
      <c r="J130" s="22" t="s">
        <v>732</v>
      </c>
      <c r="K130" s="21" t="s">
        <v>40</v>
      </c>
      <c r="L130" s="22" t="s">
        <v>15</v>
      </c>
      <c r="M130" s="23" t="s">
        <v>15</v>
      </c>
      <c r="N130" s="22" t="s">
        <v>15</v>
      </c>
    </row>
    <row r="131" spans="1:14" x14ac:dyDescent="0.25">
      <c r="A131" s="21" t="s">
        <v>777</v>
      </c>
      <c r="B131" s="22" t="s">
        <v>51</v>
      </c>
      <c r="C131" s="22" t="s">
        <v>778</v>
      </c>
      <c r="D131" s="21" t="s">
        <v>18</v>
      </c>
      <c r="E131" s="21" t="s">
        <v>29</v>
      </c>
      <c r="F131" s="22" t="s">
        <v>779</v>
      </c>
      <c r="G131" s="22" t="s">
        <v>780</v>
      </c>
      <c r="H131" s="22" t="s">
        <v>781</v>
      </c>
      <c r="I131" s="22" t="s">
        <v>782</v>
      </c>
      <c r="J131" s="22" t="s">
        <v>783</v>
      </c>
      <c r="K131" s="21" t="s">
        <v>40</v>
      </c>
      <c r="L131" s="22" t="s">
        <v>15</v>
      </c>
      <c r="M131" s="23" t="s">
        <v>15</v>
      </c>
      <c r="N131" s="22" t="s">
        <v>15</v>
      </c>
    </row>
    <row r="132" spans="1:14" x14ac:dyDescent="0.25">
      <c r="A132" s="21" t="s">
        <v>784</v>
      </c>
      <c r="B132" s="22" t="s">
        <v>51</v>
      </c>
      <c r="C132" s="22" t="s">
        <v>778</v>
      </c>
      <c r="D132" s="21" t="s">
        <v>18</v>
      </c>
      <c r="E132" s="21" t="s">
        <v>29</v>
      </c>
      <c r="F132" s="22" t="s">
        <v>785</v>
      </c>
      <c r="G132" s="22" t="s">
        <v>786</v>
      </c>
      <c r="H132" s="22" t="s">
        <v>781</v>
      </c>
      <c r="I132" s="22" t="s">
        <v>787</v>
      </c>
      <c r="J132" s="22" t="s">
        <v>783</v>
      </c>
      <c r="K132" s="21" t="s">
        <v>40</v>
      </c>
      <c r="L132" s="22" t="s">
        <v>15</v>
      </c>
      <c r="M132" s="23" t="s">
        <v>15</v>
      </c>
      <c r="N132" s="22" t="s">
        <v>15</v>
      </c>
    </row>
    <row r="133" spans="1:14" x14ac:dyDescent="0.25">
      <c r="A133" s="21" t="s">
        <v>788</v>
      </c>
      <c r="B133" s="22" t="s">
        <v>51</v>
      </c>
      <c r="C133" s="22" t="s">
        <v>778</v>
      </c>
      <c r="D133" s="21" t="s">
        <v>18</v>
      </c>
      <c r="E133" s="21" t="s">
        <v>29</v>
      </c>
      <c r="F133" s="22" t="s">
        <v>789</v>
      </c>
      <c r="G133" s="22" t="s">
        <v>790</v>
      </c>
      <c r="H133" s="22" t="s">
        <v>781</v>
      </c>
      <c r="I133" s="22" t="s">
        <v>791</v>
      </c>
      <c r="J133" s="22" t="s">
        <v>783</v>
      </c>
      <c r="K133" s="21" t="s">
        <v>40</v>
      </c>
      <c r="L133" s="22" t="s">
        <v>15</v>
      </c>
      <c r="M133" s="23" t="s">
        <v>15</v>
      </c>
      <c r="N133" s="22" t="s">
        <v>15</v>
      </c>
    </row>
    <row r="134" spans="1:14" x14ac:dyDescent="0.25">
      <c r="A134" s="21" t="s">
        <v>792</v>
      </c>
      <c r="B134" s="22" t="s">
        <v>51</v>
      </c>
      <c r="C134" s="22" t="s">
        <v>778</v>
      </c>
      <c r="D134" s="21" t="s">
        <v>18</v>
      </c>
      <c r="E134" s="21" t="s">
        <v>29</v>
      </c>
      <c r="F134" s="22" t="s">
        <v>793</v>
      </c>
      <c r="G134" s="22" t="s">
        <v>794</v>
      </c>
      <c r="H134" s="22" t="s">
        <v>781</v>
      </c>
      <c r="I134" s="22" t="s">
        <v>795</v>
      </c>
      <c r="J134" s="22" t="s">
        <v>783</v>
      </c>
      <c r="K134" s="21" t="s">
        <v>40</v>
      </c>
      <c r="L134" s="22" t="s">
        <v>15</v>
      </c>
      <c r="M134" s="23" t="s">
        <v>15</v>
      </c>
      <c r="N134" s="22" t="s">
        <v>15</v>
      </c>
    </row>
    <row r="135" spans="1:14" x14ac:dyDescent="0.25">
      <c r="A135" s="21" t="s">
        <v>796</v>
      </c>
      <c r="B135" s="22" t="s">
        <v>51</v>
      </c>
      <c r="C135" s="22" t="s">
        <v>778</v>
      </c>
      <c r="D135" s="21" t="s">
        <v>18</v>
      </c>
      <c r="E135" s="21" t="s">
        <v>29</v>
      </c>
      <c r="F135" s="22" t="s">
        <v>797</v>
      </c>
      <c r="G135" s="22" t="s">
        <v>798</v>
      </c>
      <c r="H135" s="22" t="s">
        <v>781</v>
      </c>
      <c r="I135" s="22" t="s">
        <v>799</v>
      </c>
      <c r="J135" s="22" t="s">
        <v>783</v>
      </c>
      <c r="K135" s="21" t="s">
        <v>40</v>
      </c>
      <c r="L135" s="22" t="s">
        <v>15</v>
      </c>
      <c r="M135" s="23" t="s">
        <v>15</v>
      </c>
      <c r="N135" s="22" t="s">
        <v>15</v>
      </c>
    </row>
    <row r="136" spans="1:14" x14ac:dyDescent="0.25">
      <c r="A136" s="21" t="s">
        <v>800</v>
      </c>
      <c r="B136" s="22" t="s">
        <v>51</v>
      </c>
      <c r="C136" s="22" t="s">
        <v>778</v>
      </c>
      <c r="D136" s="21" t="s">
        <v>18</v>
      </c>
      <c r="E136" s="21" t="s">
        <v>29</v>
      </c>
      <c r="F136" s="22" t="s">
        <v>801</v>
      </c>
      <c r="G136" s="22" t="s">
        <v>802</v>
      </c>
      <c r="H136" s="22" t="s">
        <v>781</v>
      </c>
      <c r="I136" s="22" t="s">
        <v>803</v>
      </c>
      <c r="J136" s="22" t="s">
        <v>783</v>
      </c>
      <c r="K136" s="21" t="s">
        <v>40</v>
      </c>
      <c r="L136" s="22" t="s">
        <v>15</v>
      </c>
      <c r="M136" s="23" t="s">
        <v>15</v>
      </c>
      <c r="N136" s="22" t="s">
        <v>15</v>
      </c>
    </row>
    <row r="137" spans="1:14" x14ac:dyDescent="0.25">
      <c r="A137" s="21" t="s">
        <v>804</v>
      </c>
      <c r="B137" s="22" t="s">
        <v>51</v>
      </c>
      <c r="C137" s="22" t="s">
        <v>778</v>
      </c>
      <c r="D137" s="21" t="s">
        <v>18</v>
      </c>
      <c r="E137" s="21" t="s">
        <v>29</v>
      </c>
      <c r="F137" s="22" t="s">
        <v>805</v>
      </c>
      <c r="G137" s="22" t="s">
        <v>806</v>
      </c>
      <c r="H137" s="22" t="s">
        <v>781</v>
      </c>
      <c r="I137" s="22" t="s">
        <v>807</v>
      </c>
      <c r="J137" s="22" t="s">
        <v>783</v>
      </c>
      <c r="K137" s="21" t="s">
        <v>40</v>
      </c>
      <c r="L137" s="22" t="s">
        <v>15</v>
      </c>
      <c r="M137" s="23" t="s">
        <v>15</v>
      </c>
      <c r="N137" s="22" t="s">
        <v>15</v>
      </c>
    </row>
    <row r="138" spans="1:14" x14ac:dyDescent="0.25">
      <c r="A138" s="21" t="s">
        <v>808</v>
      </c>
      <c r="B138" s="22" t="s">
        <v>51</v>
      </c>
      <c r="C138" s="22" t="s">
        <v>778</v>
      </c>
      <c r="D138" s="21" t="s">
        <v>18</v>
      </c>
      <c r="E138" s="21" t="s">
        <v>29</v>
      </c>
      <c r="F138" s="22" t="s">
        <v>809</v>
      </c>
      <c r="G138" s="22" t="s">
        <v>810</v>
      </c>
      <c r="H138" s="22" t="s">
        <v>781</v>
      </c>
      <c r="I138" s="22" t="s">
        <v>811</v>
      </c>
      <c r="J138" s="22" t="s">
        <v>783</v>
      </c>
      <c r="K138" s="21" t="s">
        <v>40</v>
      </c>
      <c r="L138" s="22" t="s">
        <v>15</v>
      </c>
      <c r="M138" s="23" t="s">
        <v>15</v>
      </c>
      <c r="N138" s="22" t="s">
        <v>15</v>
      </c>
    </row>
    <row r="139" spans="1:14" x14ac:dyDescent="0.25">
      <c r="A139" s="21" t="s">
        <v>812</v>
      </c>
      <c r="B139" s="22" t="s">
        <v>51</v>
      </c>
      <c r="C139" s="22" t="s">
        <v>778</v>
      </c>
      <c r="D139" s="21" t="s">
        <v>18</v>
      </c>
      <c r="E139" s="21" t="s">
        <v>29</v>
      </c>
      <c r="F139" s="22" t="s">
        <v>813</v>
      </c>
      <c r="G139" s="22" t="s">
        <v>814</v>
      </c>
      <c r="H139" s="22" t="s">
        <v>781</v>
      </c>
      <c r="I139" s="22" t="s">
        <v>815</v>
      </c>
      <c r="J139" s="22" t="s">
        <v>783</v>
      </c>
      <c r="K139" s="21" t="s">
        <v>40</v>
      </c>
      <c r="L139" s="22" t="s">
        <v>15</v>
      </c>
      <c r="M139" s="23" t="s">
        <v>15</v>
      </c>
      <c r="N139" s="22" t="s">
        <v>15</v>
      </c>
    </row>
    <row r="140" spans="1:14" x14ac:dyDescent="0.25">
      <c r="A140" s="21" t="s">
        <v>816</v>
      </c>
      <c r="B140" s="22" t="s">
        <v>51</v>
      </c>
      <c r="C140" s="22" t="s">
        <v>778</v>
      </c>
      <c r="D140" s="21" t="s">
        <v>18</v>
      </c>
      <c r="E140" s="21" t="s">
        <v>29</v>
      </c>
      <c r="F140" s="22" t="s">
        <v>817</v>
      </c>
      <c r="G140" s="22" t="s">
        <v>818</v>
      </c>
      <c r="H140" s="22" t="s">
        <v>781</v>
      </c>
      <c r="I140" s="22" t="s">
        <v>819</v>
      </c>
      <c r="J140" s="22" t="s">
        <v>783</v>
      </c>
      <c r="K140" s="21" t="s">
        <v>40</v>
      </c>
      <c r="L140" s="22" t="s">
        <v>15</v>
      </c>
      <c r="M140" s="23" t="s">
        <v>15</v>
      </c>
      <c r="N140" s="22" t="s">
        <v>15</v>
      </c>
    </row>
    <row r="141" spans="1:14" x14ac:dyDescent="0.25">
      <c r="A141" s="21" t="s">
        <v>820</v>
      </c>
      <c r="B141" s="22" t="s">
        <v>51</v>
      </c>
      <c r="C141" s="22" t="s">
        <v>821</v>
      </c>
      <c r="D141" s="21" t="s">
        <v>16</v>
      </c>
      <c r="E141" s="21" t="s">
        <v>31</v>
      </c>
      <c r="F141" s="22" t="s">
        <v>822</v>
      </c>
      <c r="G141" s="22" t="s">
        <v>99</v>
      </c>
      <c r="H141" s="22" t="s">
        <v>823</v>
      </c>
      <c r="I141" s="22" t="s">
        <v>824</v>
      </c>
      <c r="J141" s="22" t="s">
        <v>825</v>
      </c>
      <c r="K141" s="21" t="s">
        <v>40</v>
      </c>
      <c r="L141" s="22" t="s">
        <v>15</v>
      </c>
      <c r="M141" s="23" t="s">
        <v>15</v>
      </c>
      <c r="N141" s="22" t="s">
        <v>15</v>
      </c>
    </row>
    <row r="142" spans="1:14" x14ac:dyDescent="0.25">
      <c r="A142" s="21" t="s">
        <v>826</v>
      </c>
      <c r="B142" s="22" t="s">
        <v>51</v>
      </c>
      <c r="C142" s="22" t="s">
        <v>827</v>
      </c>
      <c r="D142" s="21" t="s">
        <v>16</v>
      </c>
      <c r="E142" s="21" t="s">
        <v>27</v>
      </c>
      <c r="F142" s="22" t="s">
        <v>828</v>
      </c>
      <c r="G142" s="22" t="s">
        <v>829</v>
      </c>
      <c r="H142" s="22" t="s">
        <v>830</v>
      </c>
      <c r="I142" s="22" t="s">
        <v>831</v>
      </c>
      <c r="J142" s="22" t="s">
        <v>832</v>
      </c>
      <c r="K142" s="21" t="s">
        <v>40</v>
      </c>
      <c r="L142" s="22" t="s">
        <v>15</v>
      </c>
      <c r="M142" s="23" t="s">
        <v>15</v>
      </c>
      <c r="N142" s="22" t="s">
        <v>15</v>
      </c>
    </row>
    <row r="143" spans="1:14" x14ac:dyDescent="0.25">
      <c r="A143" s="21" t="s">
        <v>833</v>
      </c>
      <c r="B143" s="22" t="s">
        <v>51</v>
      </c>
      <c r="C143" s="22" t="s">
        <v>827</v>
      </c>
      <c r="D143" s="21" t="s">
        <v>18</v>
      </c>
      <c r="E143" s="21" t="s">
        <v>27</v>
      </c>
      <c r="F143" s="22" t="s">
        <v>834</v>
      </c>
      <c r="G143" s="22" t="s">
        <v>835</v>
      </c>
      <c r="H143" s="22" t="s">
        <v>836</v>
      </c>
      <c r="I143" s="22" t="s">
        <v>837</v>
      </c>
      <c r="J143" s="22" t="s">
        <v>838</v>
      </c>
      <c r="K143" s="21" t="s">
        <v>40</v>
      </c>
      <c r="L143" s="22" t="s">
        <v>15</v>
      </c>
      <c r="M143" s="23" t="s">
        <v>15</v>
      </c>
      <c r="N143" s="22" t="s">
        <v>15</v>
      </c>
    </row>
    <row r="144" spans="1:14" x14ac:dyDescent="0.25">
      <c r="A144" s="21" t="s">
        <v>839</v>
      </c>
      <c r="B144" s="22" t="s">
        <v>51</v>
      </c>
      <c r="C144" s="22" t="s">
        <v>827</v>
      </c>
      <c r="D144" s="21" t="s">
        <v>20</v>
      </c>
      <c r="E144" s="21" t="s">
        <v>27</v>
      </c>
      <c r="F144" s="22" t="s">
        <v>840</v>
      </c>
      <c r="G144" s="22" t="s">
        <v>841</v>
      </c>
      <c r="H144" s="22" t="s">
        <v>842</v>
      </c>
      <c r="I144" s="22" t="s">
        <v>843</v>
      </c>
      <c r="J144" s="22" t="s">
        <v>703</v>
      </c>
      <c r="K144" s="21" t="s">
        <v>40</v>
      </c>
      <c r="L144" s="22" t="s">
        <v>15</v>
      </c>
      <c r="M144" s="23" t="s">
        <v>15</v>
      </c>
      <c r="N144" s="22" t="s">
        <v>15</v>
      </c>
    </row>
    <row r="145" spans="1:14" x14ac:dyDescent="0.25">
      <c r="A145" s="21" t="s">
        <v>844</v>
      </c>
      <c r="B145" s="22" t="s">
        <v>51</v>
      </c>
      <c r="C145" s="22" t="s">
        <v>827</v>
      </c>
      <c r="D145" s="21" t="s">
        <v>20</v>
      </c>
      <c r="E145" s="21" t="s">
        <v>29</v>
      </c>
      <c r="F145" s="22" t="s">
        <v>845</v>
      </c>
      <c r="G145" s="22" t="s">
        <v>846</v>
      </c>
      <c r="H145" s="22" t="s">
        <v>847</v>
      </c>
      <c r="I145" s="22" t="s">
        <v>848</v>
      </c>
      <c r="J145" s="22" t="s">
        <v>703</v>
      </c>
      <c r="K145" s="21" t="s">
        <v>40</v>
      </c>
      <c r="L145" s="22" t="s">
        <v>15</v>
      </c>
      <c r="M145" s="23" t="s">
        <v>15</v>
      </c>
      <c r="N145" s="22" t="s">
        <v>15</v>
      </c>
    </row>
    <row r="146" spans="1:14" x14ac:dyDescent="0.25">
      <c r="A146" s="21" t="s">
        <v>849</v>
      </c>
      <c r="B146" s="22" t="s">
        <v>51</v>
      </c>
      <c r="C146" s="22" t="s">
        <v>827</v>
      </c>
      <c r="D146" s="21" t="s">
        <v>18</v>
      </c>
      <c r="E146" s="21" t="s">
        <v>27</v>
      </c>
      <c r="F146" s="22" t="s">
        <v>850</v>
      </c>
      <c r="G146" s="22" t="s">
        <v>851</v>
      </c>
      <c r="H146" s="22" t="s">
        <v>852</v>
      </c>
      <c r="I146" s="22" t="s">
        <v>853</v>
      </c>
      <c r="J146" s="22" t="s">
        <v>854</v>
      </c>
      <c r="K146" s="21" t="s">
        <v>40</v>
      </c>
      <c r="L146" s="22" t="s">
        <v>15</v>
      </c>
      <c r="M146" s="23" t="s">
        <v>15</v>
      </c>
      <c r="N146" s="22" t="s">
        <v>15</v>
      </c>
    </row>
    <row r="147" spans="1:14" x14ac:dyDescent="0.25">
      <c r="A147" s="21" t="s">
        <v>855</v>
      </c>
      <c r="B147" s="22" t="s">
        <v>51</v>
      </c>
      <c r="C147" s="22" t="s">
        <v>827</v>
      </c>
      <c r="D147" s="21" t="s">
        <v>18</v>
      </c>
      <c r="E147" s="21" t="s">
        <v>29</v>
      </c>
      <c r="F147" s="22" t="s">
        <v>856</v>
      </c>
      <c r="G147" s="22" t="s">
        <v>857</v>
      </c>
      <c r="H147" s="22" t="s">
        <v>858</v>
      </c>
      <c r="I147" s="22" t="s">
        <v>859</v>
      </c>
      <c r="J147" s="22" t="s">
        <v>854</v>
      </c>
      <c r="K147" s="21" t="s">
        <v>40</v>
      </c>
      <c r="L147" s="22" t="s">
        <v>15</v>
      </c>
      <c r="M147" s="23" t="s">
        <v>15</v>
      </c>
      <c r="N147" s="22" t="s">
        <v>15</v>
      </c>
    </row>
    <row r="148" spans="1:14" x14ac:dyDescent="0.25">
      <c r="A148" s="21" t="s">
        <v>860</v>
      </c>
      <c r="B148" s="22" t="s">
        <v>51</v>
      </c>
      <c r="C148" s="22" t="s">
        <v>827</v>
      </c>
      <c r="D148" s="21" t="s">
        <v>20</v>
      </c>
      <c r="E148" s="21" t="s">
        <v>29</v>
      </c>
      <c r="F148" s="22" t="s">
        <v>861</v>
      </c>
      <c r="G148" s="22" t="s">
        <v>862</v>
      </c>
      <c r="H148" s="22" t="s">
        <v>863</v>
      </c>
      <c r="I148" s="22" t="s">
        <v>864</v>
      </c>
      <c r="J148" s="22" t="s">
        <v>854</v>
      </c>
      <c r="K148" s="21" t="s">
        <v>40</v>
      </c>
      <c r="L148" s="22" t="s">
        <v>15</v>
      </c>
      <c r="M148" s="23" t="s">
        <v>15</v>
      </c>
      <c r="N148" s="22" t="s">
        <v>15</v>
      </c>
    </row>
    <row r="149" spans="1:14" x14ac:dyDescent="0.25">
      <c r="A149" s="21" t="s">
        <v>865</v>
      </c>
      <c r="B149" s="22" t="s">
        <v>51</v>
      </c>
      <c r="C149" s="22" t="s">
        <v>866</v>
      </c>
      <c r="D149" s="21" t="s">
        <v>16</v>
      </c>
      <c r="E149" s="21" t="s">
        <v>27</v>
      </c>
      <c r="F149" s="22" t="s">
        <v>867</v>
      </c>
      <c r="G149" s="22" t="s">
        <v>868</v>
      </c>
      <c r="H149" s="22" t="s">
        <v>869</v>
      </c>
      <c r="I149" s="22" t="s">
        <v>870</v>
      </c>
      <c r="J149" s="22" t="s">
        <v>871</v>
      </c>
      <c r="K149" s="21" t="s">
        <v>40</v>
      </c>
      <c r="L149" s="22" t="s">
        <v>15</v>
      </c>
      <c r="M149" s="23" t="s">
        <v>15</v>
      </c>
      <c r="N149" s="22" t="s">
        <v>15</v>
      </c>
    </row>
    <row r="150" spans="1:14" x14ac:dyDescent="0.25">
      <c r="A150" s="21" t="s">
        <v>872</v>
      </c>
      <c r="B150" s="22" t="s">
        <v>51</v>
      </c>
      <c r="C150" s="22" t="s">
        <v>873</v>
      </c>
      <c r="D150" s="21" t="s">
        <v>16</v>
      </c>
      <c r="E150" s="21" t="s">
        <v>27</v>
      </c>
      <c r="F150" s="22" t="s">
        <v>874</v>
      </c>
      <c r="G150" s="22" t="s">
        <v>875</v>
      </c>
      <c r="H150" s="22" t="s">
        <v>876</v>
      </c>
      <c r="I150" s="22" t="s">
        <v>877</v>
      </c>
      <c r="J150" s="22" t="s">
        <v>878</v>
      </c>
      <c r="K150" s="21" t="s">
        <v>40</v>
      </c>
      <c r="L150" s="22" t="s">
        <v>15</v>
      </c>
      <c r="M150" s="23" t="s">
        <v>15</v>
      </c>
      <c r="N150" s="22" t="s">
        <v>15</v>
      </c>
    </row>
    <row r="151" spans="1:14" x14ac:dyDescent="0.25">
      <c r="A151" s="21" t="s">
        <v>879</v>
      </c>
      <c r="B151" s="22" t="s">
        <v>51</v>
      </c>
      <c r="C151" s="22" t="s">
        <v>873</v>
      </c>
      <c r="D151" s="21" t="s">
        <v>16</v>
      </c>
      <c r="E151" s="21" t="s">
        <v>29</v>
      </c>
      <c r="F151" s="22" t="s">
        <v>880</v>
      </c>
      <c r="G151" s="22" t="s">
        <v>881</v>
      </c>
      <c r="H151" s="22" t="s">
        <v>882</v>
      </c>
      <c r="I151" s="22" t="s">
        <v>883</v>
      </c>
      <c r="J151" s="22" t="s">
        <v>884</v>
      </c>
      <c r="K151" s="21" t="s">
        <v>40</v>
      </c>
      <c r="L151" s="22" t="s">
        <v>15</v>
      </c>
      <c r="M151" s="23" t="s">
        <v>15</v>
      </c>
      <c r="N151" s="22" t="s">
        <v>15</v>
      </c>
    </row>
    <row r="152" spans="1:14" x14ac:dyDescent="0.25">
      <c r="A152" s="21" t="s">
        <v>885</v>
      </c>
      <c r="B152" s="22" t="s">
        <v>51</v>
      </c>
      <c r="C152" s="22" t="s">
        <v>873</v>
      </c>
      <c r="D152" s="21" t="s">
        <v>18</v>
      </c>
      <c r="E152" s="21" t="s">
        <v>29</v>
      </c>
      <c r="F152" s="22" t="s">
        <v>886</v>
      </c>
      <c r="G152" s="22" t="s">
        <v>887</v>
      </c>
      <c r="H152" s="22" t="s">
        <v>888</v>
      </c>
      <c r="I152" s="22" t="s">
        <v>889</v>
      </c>
      <c r="J152" s="22" t="s">
        <v>890</v>
      </c>
      <c r="K152" s="21" t="s">
        <v>40</v>
      </c>
      <c r="L152" s="22" t="s">
        <v>15</v>
      </c>
      <c r="M152" s="23" t="s">
        <v>15</v>
      </c>
      <c r="N152" s="22" t="s">
        <v>15</v>
      </c>
    </row>
    <row r="153" spans="1:14" x14ac:dyDescent="0.25">
      <c r="A153" s="21" t="s">
        <v>891</v>
      </c>
      <c r="B153" s="22" t="s">
        <v>51</v>
      </c>
      <c r="C153" s="22" t="s">
        <v>873</v>
      </c>
      <c r="D153" s="21" t="s">
        <v>16</v>
      </c>
      <c r="E153" s="21" t="s">
        <v>29</v>
      </c>
      <c r="F153" s="22" t="s">
        <v>892</v>
      </c>
      <c r="G153" s="22" t="s">
        <v>893</v>
      </c>
      <c r="H153" s="22" t="s">
        <v>894</v>
      </c>
      <c r="I153" s="22" t="s">
        <v>895</v>
      </c>
      <c r="J153" s="22" t="s">
        <v>878</v>
      </c>
      <c r="K153" s="21" t="s">
        <v>40</v>
      </c>
      <c r="L153" s="22" t="s">
        <v>15</v>
      </c>
      <c r="M153" s="23" t="s">
        <v>15</v>
      </c>
      <c r="N153" s="22" t="s">
        <v>15</v>
      </c>
    </row>
    <row r="154" spans="1:14" x14ac:dyDescent="0.25">
      <c r="A154" s="21" t="s">
        <v>896</v>
      </c>
      <c r="B154" s="22" t="s">
        <v>51</v>
      </c>
      <c r="C154" s="22" t="s">
        <v>873</v>
      </c>
      <c r="D154" s="21" t="s">
        <v>18</v>
      </c>
      <c r="E154" s="21" t="s">
        <v>29</v>
      </c>
      <c r="F154" s="22" t="s">
        <v>897</v>
      </c>
      <c r="G154" s="22" t="s">
        <v>898</v>
      </c>
      <c r="H154" s="22" t="s">
        <v>899</v>
      </c>
      <c r="I154" s="22" t="s">
        <v>900</v>
      </c>
      <c r="J154" s="22" t="s">
        <v>901</v>
      </c>
      <c r="K154" s="21" t="s">
        <v>40</v>
      </c>
      <c r="L154" s="22" t="s">
        <v>15</v>
      </c>
      <c r="M154" s="23" t="s">
        <v>15</v>
      </c>
      <c r="N154" s="22" t="s">
        <v>15</v>
      </c>
    </row>
    <row r="155" spans="1:14" x14ac:dyDescent="0.25">
      <c r="A155" s="21" t="s">
        <v>902</v>
      </c>
      <c r="B155" s="22" t="s">
        <v>51</v>
      </c>
      <c r="C155" s="22" t="s">
        <v>873</v>
      </c>
      <c r="D155" s="21" t="s">
        <v>24</v>
      </c>
      <c r="E155" s="21" t="s">
        <v>27</v>
      </c>
      <c r="F155" s="22" t="s">
        <v>903</v>
      </c>
      <c r="G155" s="22" t="s">
        <v>887</v>
      </c>
      <c r="H155" s="22" t="s">
        <v>904</v>
      </c>
      <c r="I155" s="22" t="s">
        <v>905</v>
      </c>
      <c r="J155" s="22" t="s">
        <v>906</v>
      </c>
      <c r="K155" s="21" t="s">
        <v>40</v>
      </c>
      <c r="L155" s="22" t="s">
        <v>15</v>
      </c>
      <c r="M155" s="23" t="s">
        <v>15</v>
      </c>
      <c r="N155" s="22" t="s">
        <v>15</v>
      </c>
    </row>
    <row r="156" spans="1:14" x14ac:dyDescent="0.25">
      <c r="A156" s="21" t="s">
        <v>907</v>
      </c>
      <c r="B156" s="22" t="s">
        <v>51</v>
      </c>
      <c r="C156" s="22" t="s">
        <v>873</v>
      </c>
      <c r="D156" s="21" t="s">
        <v>16</v>
      </c>
      <c r="E156" s="21" t="s">
        <v>29</v>
      </c>
      <c r="F156" s="22" t="s">
        <v>908</v>
      </c>
      <c r="G156" s="22" t="s">
        <v>909</v>
      </c>
      <c r="H156" s="22" t="s">
        <v>910</v>
      </c>
      <c r="I156" s="22" t="s">
        <v>911</v>
      </c>
      <c r="J156" s="22" t="s">
        <v>912</v>
      </c>
      <c r="K156" s="21" t="s">
        <v>40</v>
      </c>
      <c r="L156" s="22" t="s">
        <v>15</v>
      </c>
      <c r="M156" s="23" t="s">
        <v>15</v>
      </c>
      <c r="N156" s="22" t="s">
        <v>15</v>
      </c>
    </row>
    <row r="157" spans="1:14" x14ac:dyDescent="0.25">
      <c r="A157" s="21" t="s">
        <v>913</v>
      </c>
      <c r="B157" s="22" t="s">
        <v>51</v>
      </c>
      <c r="C157" s="22" t="s">
        <v>914</v>
      </c>
      <c r="D157" s="21" t="s">
        <v>20</v>
      </c>
      <c r="E157" s="21" t="s">
        <v>27</v>
      </c>
      <c r="F157" s="22" t="s">
        <v>915</v>
      </c>
      <c r="G157" s="22" t="s">
        <v>916</v>
      </c>
      <c r="H157" s="22" t="s">
        <v>708</v>
      </c>
      <c r="I157" s="22" t="s">
        <v>917</v>
      </c>
      <c r="J157" s="22" t="s">
        <v>918</v>
      </c>
      <c r="K157" s="21" t="s">
        <v>40</v>
      </c>
      <c r="L157" s="22" t="s">
        <v>15</v>
      </c>
      <c r="M157" s="23" t="s">
        <v>15</v>
      </c>
      <c r="N157" s="22" t="s">
        <v>15</v>
      </c>
    </row>
    <row r="158" spans="1:14" x14ac:dyDescent="0.25">
      <c r="A158" s="21" t="s">
        <v>919</v>
      </c>
      <c r="B158" s="22" t="s">
        <v>51</v>
      </c>
      <c r="C158" s="22" t="s">
        <v>914</v>
      </c>
      <c r="D158" s="21" t="s">
        <v>20</v>
      </c>
      <c r="E158" s="21" t="s">
        <v>27</v>
      </c>
      <c r="F158" s="22" t="s">
        <v>920</v>
      </c>
      <c r="G158" s="22" t="s">
        <v>921</v>
      </c>
      <c r="H158" s="22" t="s">
        <v>708</v>
      </c>
      <c r="I158" s="22" t="s">
        <v>922</v>
      </c>
      <c r="J158" s="22" t="s">
        <v>918</v>
      </c>
      <c r="K158" s="21" t="s">
        <v>40</v>
      </c>
      <c r="L158" s="22" t="s">
        <v>15</v>
      </c>
      <c r="M158" s="23" t="s">
        <v>15</v>
      </c>
      <c r="N158" s="22" t="s">
        <v>15</v>
      </c>
    </row>
    <row r="159" spans="1:14" x14ac:dyDescent="0.25">
      <c r="A159" s="21" t="s">
        <v>923</v>
      </c>
      <c r="B159" s="22" t="s">
        <v>51</v>
      </c>
      <c r="C159" s="22" t="s">
        <v>914</v>
      </c>
      <c r="D159" s="21" t="s">
        <v>24</v>
      </c>
      <c r="E159" s="21" t="s">
        <v>29</v>
      </c>
      <c r="F159" s="22" t="s">
        <v>924</v>
      </c>
      <c r="G159" s="22" t="s">
        <v>925</v>
      </c>
      <c r="H159" s="22" t="s">
        <v>926</v>
      </c>
      <c r="I159" s="22" t="s">
        <v>927</v>
      </c>
      <c r="J159" s="22" t="s">
        <v>918</v>
      </c>
      <c r="K159" s="21" t="s">
        <v>40</v>
      </c>
      <c r="L159" s="22" t="s">
        <v>15</v>
      </c>
      <c r="M159" s="23" t="s">
        <v>15</v>
      </c>
      <c r="N159" s="22" t="s">
        <v>15</v>
      </c>
    </row>
    <row r="160" spans="1:14" x14ac:dyDescent="0.25">
      <c r="A160" s="21" t="s">
        <v>928</v>
      </c>
      <c r="B160" s="22" t="s">
        <v>51</v>
      </c>
      <c r="C160" s="22" t="s">
        <v>914</v>
      </c>
      <c r="D160" s="21" t="s">
        <v>24</v>
      </c>
      <c r="E160" s="21" t="s">
        <v>29</v>
      </c>
      <c r="F160" s="22" t="s">
        <v>929</v>
      </c>
      <c r="G160" s="22" t="s">
        <v>930</v>
      </c>
      <c r="H160" s="22" t="s">
        <v>931</v>
      </c>
      <c r="I160" s="22" t="s">
        <v>932</v>
      </c>
      <c r="J160" s="22" t="s">
        <v>918</v>
      </c>
      <c r="K160" s="21" t="s">
        <v>40</v>
      </c>
      <c r="L160" s="22" t="s">
        <v>15</v>
      </c>
      <c r="M160" s="23" t="s">
        <v>15</v>
      </c>
      <c r="N160" s="22" t="s">
        <v>15</v>
      </c>
    </row>
    <row r="161" spans="1:14" x14ac:dyDescent="0.25">
      <c r="A161" s="21" t="s">
        <v>933</v>
      </c>
      <c r="B161" s="22" t="s">
        <v>51</v>
      </c>
      <c r="C161" s="22" t="s">
        <v>934</v>
      </c>
      <c r="D161" s="21" t="s">
        <v>24</v>
      </c>
      <c r="E161" s="21" t="s">
        <v>29</v>
      </c>
      <c r="F161" s="22" t="s">
        <v>935</v>
      </c>
      <c r="G161" s="22" t="s">
        <v>936</v>
      </c>
      <c r="H161" s="22" t="s">
        <v>937</v>
      </c>
      <c r="I161" s="22" t="s">
        <v>938</v>
      </c>
      <c r="J161" s="22" t="s">
        <v>939</v>
      </c>
      <c r="K161" s="21" t="s">
        <v>40</v>
      </c>
      <c r="L161" s="22" t="s">
        <v>15</v>
      </c>
      <c r="M161" s="23" t="s">
        <v>15</v>
      </c>
      <c r="N161" s="22" t="s">
        <v>15</v>
      </c>
    </row>
    <row r="162" spans="1:14" x14ac:dyDescent="0.25">
      <c r="A162" s="21" t="s">
        <v>940</v>
      </c>
      <c r="B162" s="22" t="s">
        <v>51</v>
      </c>
      <c r="C162" s="22" t="s">
        <v>934</v>
      </c>
      <c r="D162" s="21" t="s">
        <v>18</v>
      </c>
      <c r="E162" s="21" t="s">
        <v>31</v>
      </c>
      <c r="F162" s="22" t="s">
        <v>941</v>
      </c>
      <c r="G162" s="22" t="s">
        <v>942</v>
      </c>
      <c r="H162" s="22" t="s">
        <v>943</v>
      </c>
      <c r="I162" s="22" t="s">
        <v>944</v>
      </c>
      <c r="J162" s="22" t="s">
        <v>945</v>
      </c>
      <c r="K162" s="21" t="s">
        <v>40</v>
      </c>
      <c r="L162" s="22" t="s">
        <v>15</v>
      </c>
      <c r="M162" s="23" t="s">
        <v>15</v>
      </c>
      <c r="N162" s="22" t="s">
        <v>15</v>
      </c>
    </row>
    <row r="163" spans="1:14" x14ac:dyDescent="0.25">
      <c r="A163" s="21" t="s">
        <v>946</v>
      </c>
      <c r="B163" s="22" t="s">
        <v>52</v>
      </c>
      <c r="C163" s="22" t="s">
        <v>947</v>
      </c>
      <c r="D163" s="21" t="s">
        <v>16</v>
      </c>
      <c r="E163" s="21" t="s">
        <v>27</v>
      </c>
      <c r="F163" s="22" t="s">
        <v>948</v>
      </c>
      <c r="G163" s="22" t="s">
        <v>99</v>
      </c>
      <c r="H163" s="22" t="s">
        <v>949</v>
      </c>
      <c r="I163" s="22" t="s">
        <v>950</v>
      </c>
      <c r="J163" s="22" t="s">
        <v>951</v>
      </c>
      <c r="K163" s="21" t="s">
        <v>40</v>
      </c>
      <c r="L163" s="22" t="s">
        <v>15</v>
      </c>
      <c r="M163" s="23" t="s">
        <v>15</v>
      </c>
      <c r="N163" s="22" t="s">
        <v>15</v>
      </c>
    </row>
    <row r="164" spans="1:14" x14ac:dyDescent="0.25">
      <c r="A164" s="21" t="s">
        <v>952</v>
      </c>
      <c r="B164" s="22" t="s">
        <v>52</v>
      </c>
      <c r="C164" s="22" t="s">
        <v>947</v>
      </c>
      <c r="D164" s="21" t="s">
        <v>16</v>
      </c>
      <c r="E164" s="21" t="s">
        <v>27</v>
      </c>
      <c r="F164" s="22" t="s">
        <v>953</v>
      </c>
      <c r="G164" s="22" t="s">
        <v>99</v>
      </c>
      <c r="H164" s="22" t="s">
        <v>954</v>
      </c>
      <c r="I164" s="22" t="s">
        <v>955</v>
      </c>
      <c r="J164" s="22" t="s">
        <v>956</v>
      </c>
      <c r="K164" s="21" t="s">
        <v>40</v>
      </c>
      <c r="L164" s="22" t="s">
        <v>15</v>
      </c>
      <c r="M164" s="23" t="s">
        <v>15</v>
      </c>
      <c r="N164" s="22" t="s">
        <v>15</v>
      </c>
    </row>
    <row r="165" spans="1:14" x14ac:dyDescent="0.25">
      <c r="A165" s="21" t="s">
        <v>957</v>
      </c>
      <c r="B165" s="22" t="s">
        <v>52</v>
      </c>
      <c r="C165" s="22" t="s">
        <v>947</v>
      </c>
      <c r="D165" s="21" t="s">
        <v>18</v>
      </c>
      <c r="E165" s="21" t="s">
        <v>27</v>
      </c>
      <c r="F165" s="22" t="s">
        <v>958</v>
      </c>
      <c r="G165" s="22" t="s">
        <v>99</v>
      </c>
      <c r="H165" s="22" t="s">
        <v>959</v>
      </c>
      <c r="I165" s="22" t="s">
        <v>960</v>
      </c>
      <c r="J165" s="22" t="s">
        <v>961</v>
      </c>
      <c r="K165" s="21" t="s">
        <v>40</v>
      </c>
      <c r="L165" s="22" t="s">
        <v>15</v>
      </c>
      <c r="M165" s="23" t="s">
        <v>15</v>
      </c>
      <c r="N165" s="22" t="s">
        <v>15</v>
      </c>
    </row>
    <row r="166" spans="1:14" x14ac:dyDescent="0.25">
      <c r="A166" s="21" t="s">
        <v>962</v>
      </c>
      <c r="B166" s="22" t="s">
        <v>52</v>
      </c>
      <c r="C166" s="22" t="s">
        <v>947</v>
      </c>
      <c r="D166" s="21" t="s">
        <v>16</v>
      </c>
      <c r="E166" s="21" t="s">
        <v>29</v>
      </c>
      <c r="F166" s="22" t="s">
        <v>963</v>
      </c>
      <c r="G166" s="22" t="s">
        <v>99</v>
      </c>
      <c r="H166" s="22" t="s">
        <v>964</v>
      </c>
      <c r="I166" s="22" t="s">
        <v>965</v>
      </c>
      <c r="J166" s="22" t="s">
        <v>966</v>
      </c>
      <c r="K166" s="21" t="s">
        <v>40</v>
      </c>
      <c r="L166" s="22" t="s">
        <v>15</v>
      </c>
      <c r="M166" s="23" t="s">
        <v>15</v>
      </c>
      <c r="N166" s="22" t="s">
        <v>15</v>
      </c>
    </row>
    <row r="167" spans="1:14" x14ac:dyDescent="0.25">
      <c r="A167" s="21" t="s">
        <v>967</v>
      </c>
      <c r="B167" s="22" t="s">
        <v>52</v>
      </c>
      <c r="C167" s="22" t="s">
        <v>968</v>
      </c>
      <c r="D167" s="21" t="s">
        <v>16</v>
      </c>
      <c r="E167" s="21" t="s">
        <v>29</v>
      </c>
      <c r="F167" s="22" t="s">
        <v>969</v>
      </c>
      <c r="G167" s="22" t="s">
        <v>970</v>
      </c>
      <c r="H167" s="22" t="s">
        <v>971</v>
      </c>
      <c r="I167" s="22" t="s">
        <v>972</v>
      </c>
      <c r="J167" s="22" t="s">
        <v>973</v>
      </c>
      <c r="K167" s="21" t="s">
        <v>40</v>
      </c>
      <c r="L167" s="22" t="s">
        <v>15</v>
      </c>
      <c r="M167" s="23" t="s">
        <v>15</v>
      </c>
      <c r="N167" s="22" t="s">
        <v>15</v>
      </c>
    </row>
    <row r="168" spans="1:14" x14ac:dyDescent="0.25">
      <c r="A168" s="21" t="s">
        <v>974</v>
      </c>
      <c r="B168" s="22" t="s">
        <v>52</v>
      </c>
      <c r="C168" s="22" t="s">
        <v>975</v>
      </c>
      <c r="D168" s="21" t="s">
        <v>16</v>
      </c>
      <c r="E168" s="21" t="s">
        <v>27</v>
      </c>
      <c r="F168" s="22" t="s">
        <v>976</v>
      </c>
      <c r="G168" s="22" t="s">
        <v>977</v>
      </c>
      <c r="H168" s="22" t="s">
        <v>978</v>
      </c>
      <c r="I168" s="22" t="s">
        <v>979</v>
      </c>
      <c r="J168" s="22" t="s">
        <v>980</v>
      </c>
      <c r="K168" s="21" t="s">
        <v>40</v>
      </c>
      <c r="L168" s="22" t="s">
        <v>15</v>
      </c>
      <c r="M168" s="23" t="s">
        <v>15</v>
      </c>
      <c r="N168" s="22" t="s">
        <v>15</v>
      </c>
    </row>
    <row r="169" spans="1:14" x14ac:dyDescent="0.25">
      <c r="A169" s="21" t="s">
        <v>981</v>
      </c>
      <c r="B169" s="22" t="s">
        <v>52</v>
      </c>
      <c r="C169" s="22" t="s">
        <v>975</v>
      </c>
      <c r="D169" s="21" t="s">
        <v>16</v>
      </c>
      <c r="E169" s="21" t="s">
        <v>29</v>
      </c>
      <c r="F169" s="22" t="s">
        <v>982</v>
      </c>
      <c r="G169" s="22" t="s">
        <v>983</v>
      </c>
      <c r="H169" s="22" t="s">
        <v>978</v>
      </c>
      <c r="I169" s="22" t="s">
        <v>984</v>
      </c>
      <c r="J169" s="22" t="s">
        <v>985</v>
      </c>
      <c r="K169" s="21" t="s">
        <v>40</v>
      </c>
      <c r="L169" s="22" t="s">
        <v>15</v>
      </c>
      <c r="M169" s="23" t="s">
        <v>15</v>
      </c>
      <c r="N169" s="22" t="s">
        <v>15</v>
      </c>
    </row>
    <row r="170" spans="1:14" x14ac:dyDescent="0.25">
      <c r="A170" s="21" t="s">
        <v>986</v>
      </c>
      <c r="B170" s="22" t="s">
        <v>52</v>
      </c>
      <c r="C170" s="22" t="s">
        <v>987</v>
      </c>
      <c r="D170" s="21" t="s">
        <v>16</v>
      </c>
      <c r="E170" s="21" t="s">
        <v>27</v>
      </c>
      <c r="F170" s="22" t="s">
        <v>988</v>
      </c>
      <c r="G170" s="22" t="s">
        <v>989</v>
      </c>
      <c r="H170" s="22" t="s">
        <v>990</v>
      </c>
      <c r="I170" s="22" t="s">
        <v>991</v>
      </c>
      <c r="J170" s="22" t="s">
        <v>992</v>
      </c>
      <c r="K170" s="21" t="s">
        <v>40</v>
      </c>
      <c r="L170" s="22" t="s">
        <v>15</v>
      </c>
      <c r="M170" s="23" t="s">
        <v>15</v>
      </c>
      <c r="N170" s="22" t="s">
        <v>15</v>
      </c>
    </row>
    <row r="171" spans="1:14" x14ac:dyDescent="0.25">
      <c r="A171" s="21" t="s">
        <v>993</v>
      </c>
      <c r="B171" s="22" t="s">
        <v>52</v>
      </c>
      <c r="C171" s="22" t="s">
        <v>987</v>
      </c>
      <c r="D171" s="21" t="s">
        <v>16</v>
      </c>
      <c r="E171" s="21" t="s">
        <v>29</v>
      </c>
      <c r="F171" s="22" t="s">
        <v>994</v>
      </c>
      <c r="G171" s="22" t="s">
        <v>995</v>
      </c>
      <c r="H171" s="22" t="s">
        <v>996</v>
      </c>
      <c r="I171" s="22" t="s">
        <v>997</v>
      </c>
      <c r="J171" s="22" t="s">
        <v>992</v>
      </c>
      <c r="K171" s="21" t="s">
        <v>40</v>
      </c>
      <c r="L171" s="22" t="s">
        <v>15</v>
      </c>
      <c r="M171" s="23" t="s">
        <v>15</v>
      </c>
      <c r="N171" s="22" t="s">
        <v>15</v>
      </c>
    </row>
    <row r="172" spans="1:14" x14ac:dyDescent="0.25">
      <c r="A172" s="21" t="s">
        <v>998</v>
      </c>
      <c r="B172" s="22" t="s">
        <v>52</v>
      </c>
      <c r="C172" s="22" t="s">
        <v>987</v>
      </c>
      <c r="D172" s="21" t="s">
        <v>16</v>
      </c>
      <c r="E172" s="21" t="s">
        <v>27</v>
      </c>
      <c r="F172" s="22" t="s">
        <v>999</v>
      </c>
      <c r="G172" s="22" t="s">
        <v>1000</v>
      </c>
      <c r="H172" s="22" t="s">
        <v>1001</v>
      </c>
      <c r="I172" s="22" t="s">
        <v>1002</v>
      </c>
      <c r="J172" s="22" t="s">
        <v>1003</v>
      </c>
      <c r="K172" s="21" t="s">
        <v>40</v>
      </c>
      <c r="L172" s="22" t="s">
        <v>15</v>
      </c>
      <c r="M172" s="23" t="s">
        <v>15</v>
      </c>
      <c r="N172" s="22" t="s">
        <v>15</v>
      </c>
    </row>
    <row r="173" spans="1:14" x14ac:dyDescent="0.25">
      <c r="A173" s="21" t="s">
        <v>1004</v>
      </c>
      <c r="B173" s="22" t="s">
        <v>52</v>
      </c>
      <c r="C173" s="22" t="s">
        <v>1005</v>
      </c>
      <c r="D173" s="21" t="s">
        <v>16</v>
      </c>
      <c r="E173" s="21" t="s">
        <v>27</v>
      </c>
      <c r="F173" s="22" t="s">
        <v>1006</v>
      </c>
      <c r="G173" s="22" t="s">
        <v>1007</v>
      </c>
      <c r="H173" s="22" t="s">
        <v>1008</v>
      </c>
      <c r="I173" s="22" t="s">
        <v>1009</v>
      </c>
      <c r="J173" s="22" t="s">
        <v>1010</v>
      </c>
      <c r="K173" s="21" t="s">
        <v>40</v>
      </c>
      <c r="L173" s="22" t="s">
        <v>15</v>
      </c>
      <c r="M173" s="23" t="s">
        <v>15</v>
      </c>
      <c r="N173" s="22" t="s">
        <v>15</v>
      </c>
    </row>
    <row r="174" spans="1:14" x14ac:dyDescent="0.25">
      <c r="A174" s="21" t="s">
        <v>1011</v>
      </c>
      <c r="B174" s="22" t="s">
        <v>52</v>
      </c>
      <c r="C174" s="22" t="s">
        <v>1005</v>
      </c>
      <c r="D174" s="21" t="s">
        <v>16</v>
      </c>
      <c r="E174" s="21" t="s">
        <v>27</v>
      </c>
      <c r="F174" s="22" t="s">
        <v>1012</v>
      </c>
      <c r="G174" s="22" t="s">
        <v>989</v>
      </c>
      <c r="H174" s="22" t="s">
        <v>1013</v>
      </c>
      <c r="I174" s="22" t="s">
        <v>1014</v>
      </c>
      <c r="J174" s="22" t="s">
        <v>1015</v>
      </c>
      <c r="K174" s="21" t="s">
        <v>40</v>
      </c>
      <c r="L174" s="22" t="s">
        <v>15</v>
      </c>
      <c r="M174" s="23" t="s">
        <v>15</v>
      </c>
      <c r="N174" s="22" t="s">
        <v>15</v>
      </c>
    </row>
    <row r="175" spans="1:14" x14ac:dyDescent="0.25">
      <c r="A175" s="21" t="s">
        <v>1016</v>
      </c>
      <c r="B175" s="22" t="s">
        <v>52</v>
      </c>
      <c r="C175" s="22" t="s">
        <v>1005</v>
      </c>
      <c r="D175" s="21" t="s">
        <v>20</v>
      </c>
      <c r="E175" s="21" t="s">
        <v>29</v>
      </c>
      <c r="F175" s="22" t="s">
        <v>1017</v>
      </c>
      <c r="G175" s="22" t="s">
        <v>1018</v>
      </c>
      <c r="H175" s="22" t="s">
        <v>1019</v>
      </c>
      <c r="I175" s="22" t="s">
        <v>1020</v>
      </c>
      <c r="J175" s="22" t="s">
        <v>1021</v>
      </c>
      <c r="K175" s="21" t="s">
        <v>40</v>
      </c>
      <c r="L175" s="22" t="s">
        <v>15</v>
      </c>
      <c r="M175" s="23" t="s">
        <v>15</v>
      </c>
      <c r="N175" s="22" t="s">
        <v>15</v>
      </c>
    </row>
    <row r="176" spans="1:14" x14ac:dyDescent="0.25">
      <c r="A176" s="21" t="s">
        <v>1022</v>
      </c>
      <c r="B176" s="22" t="s">
        <v>52</v>
      </c>
      <c r="C176" s="22" t="s">
        <v>1005</v>
      </c>
      <c r="D176" s="21" t="s">
        <v>16</v>
      </c>
      <c r="E176" s="21" t="s">
        <v>29</v>
      </c>
      <c r="F176" s="22" t="s">
        <v>1023</v>
      </c>
      <c r="G176" s="22" t="s">
        <v>1024</v>
      </c>
      <c r="H176" s="22" t="s">
        <v>1025</v>
      </c>
      <c r="I176" s="22" t="s">
        <v>1026</v>
      </c>
      <c r="J176" s="22" t="s">
        <v>1027</v>
      </c>
      <c r="K176" s="21" t="s">
        <v>40</v>
      </c>
      <c r="L176" s="22" t="s">
        <v>15</v>
      </c>
      <c r="M176" s="23" t="s">
        <v>15</v>
      </c>
      <c r="N176" s="22" t="s">
        <v>15</v>
      </c>
    </row>
    <row r="177" spans="1:14" x14ac:dyDescent="0.25">
      <c r="A177" s="21" t="s">
        <v>1028</v>
      </c>
      <c r="B177" s="22" t="s">
        <v>52</v>
      </c>
      <c r="C177" s="22" t="s">
        <v>282</v>
      </c>
      <c r="D177" s="21" t="s">
        <v>16</v>
      </c>
      <c r="E177" s="21" t="s">
        <v>27</v>
      </c>
      <c r="F177" s="22" t="s">
        <v>1029</v>
      </c>
      <c r="G177" s="22" t="s">
        <v>1030</v>
      </c>
      <c r="H177" s="22" t="s">
        <v>1031</v>
      </c>
      <c r="I177" s="22" t="s">
        <v>1032</v>
      </c>
      <c r="J177" s="22" t="s">
        <v>1033</v>
      </c>
      <c r="K177" s="21" t="s">
        <v>40</v>
      </c>
      <c r="L177" s="22" t="s">
        <v>15</v>
      </c>
      <c r="M177" s="23" t="s">
        <v>15</v>
      </c>
      <c r="N177" s="22" t="s">
        <v>15</v>
      </c>
    </row>
    <row r="178" spans="1:14" x14ac:dyDescent="0.25">
      <c r="A178" s="21" t="s">
        <v>1034</v>
      </c>
      <c r="B178" s="22" t="s">
        <v>52</v>
      </c>
      <c r="C178" s="22" t="s">
        <v>282</v>
      </c>
      <c r="D178" s="21" t="s">
        <v>18</v>
      </c>
      <c r="E178" s="21" t="s">
        <v>27</v>
      </c>
      <c r="F178" s="22" t="s">
        <v>1035</v>
      </c>
      <c r="G178" s="22" t="s">
        <v>1036</v>
      </c>
      <c r="H178" s="22" t="s">
        <v>1037</v>
      </c>
      <c r="I178" s="22" t="s">
        <v>1038</v>
      </c>
      <c r="J178" s="22" t="s">
        <v>1039</v>
      </c>
      <c r="K178" s="21" t="s">
        <v>40</v>
      </c>
      <c r="L178" s="22" t="s">
        <v>15</v>
      </c>
      <c r="M178" s="23" t="s">
        <v>15</v>
      </c>
      <c r="N178" s="22" t="s">
        <v>15</v>
      </c>
    </row>
    <row r="179" spans="1:14" x14ac:dyDescent="0.25">
      <c r="A179" s="21" t="s">
        <v>1040</v>
      </c>
      <c r="B179" s="22" t="s">
        <v>52</v>
      </c>
      <c r="C179" s="22" t="s">
        <v>282</v>
      </c>
      <c r="D179" s="21" t="s">
        <v>16</v>
      </c>
      <c r="E179" s="21" t="s">
        <v>29</v>
      </c>
      <c r="F179" s="22" t="s">
        <v>1041</v>
      </c>
      <c r="G179" s="22" t="s">
        <v>1042</v>
      </c>
      <c r="H179" s="22" t="s">
        <v>1043</v>
      </c>
      <c r="I179" s="22" t="s">
        <v>1044</v>
      </c>
      <c r="J179" s="22" t="s">
        <v>1045</v>
      </c>
      <c r="K179" s="21" t="s">
        <v>40</v>
      </c>
      <c r="L179" s="22" t="s">
        <v>15</v>
      </c>
      <c r="M179" s="23" t="s">
        <v>15</v>
      </c>
      <c r="N179" s="22" t="s">
        <v>15</v>
      </c>
    </row>
    <row r="180" spans="1:14" x14ac:dyDescent="0.25">
      <c r="A180" s="21" t="s">
        <v>1046</v>
      </c>
      <c r="B180" s="22" t="s">
        <v>52</v>
      </c>
      <c r="C180" s="22" t="s">
        <v>282</v>
      </c>
      <c r="D180" s="21" t="s">
        <v>18</v>
      </c>
      <c r="E180" s="21" t="s">
        <v>29</v>
      </c>
      <c r="F180" s="22" t="s">
        <v>1047</v>
      </c>
      <c r="G180" s="22" t="s">
        <v>1048</v>
      </c>
      <c r="H180" s="22" t="s">
        <v>1043</v>
      </c>
      <c r="I180" s="22" t="s">
        <v>1049</v>
      </c>
      <c r="J180" s="22" t="s">
        <v>1050</v>
      </c>
      <c r="K180" s="21" t="s">
        <v>40</v>
      </c>
      <c r="L180" s="22" t="s">
        <v>15</v>
      </c>
      <c r="M180" s="23" t="s">
        <v>15</v>
      </c>
      <c r="N180" s="22" t="s">
        <v>15</v>
      </c>
    </row>
    <row r="181" spans="1:14" x14ac:dyDescent="0.25">
      <c r="A181" s="21" t="s">
        <v>1051</v>
      </c>
      <c r="B181" s="22" t="s">
        <v>52</v>
      </c>
      <c r="C181" s="22" t="s">
        <v>282</v>
      </c>
      <c r="D181" s="21" t="s">
        <v>16</v>
      </c>
      <c r="E181" s="21" t="s">
        <v>29</v>
      </c>
      <c r="F181" s="22" t="s">
        <v>1052</v>
      </c>
      <c r="G181" s="22" t="s">
        <v>887</v>
      </c>
      <c r="H181" s="22" t="s">
        <v>1053</v>
      </c>
      <c r="I181" s="22" t="s">
        <v>1054</v>
      </c>
      <c r="J181" s="22" t="s">
        <v>1055</v>
      </c>
      <c r="K181" s="21" t="s">
        <v>40</v>
      </c>
      <c r="L181" s="22" t="s">
        <v>15</v>
      </c>
      <c r="M181" s="23" t="s">
        <v>15</v>
      </c>
      <c r="N181" s="22" t="s">
        <v>15</v>
      </c>
    </row>
    <row r="182" spans="1:14" x14ac:dyDescent="0.25">
      <c r="A182" s="21" t="s">
        <v>1056</v>
      </c>
      <c r="B182" s="22" t="s">
        <v>52</v>
      </c>
      <c r="C182" s="22" t="s">
        <v>1057</v>
      </c>
      <c r="D182" s="21" t="s">
        <v>18</v>
      </c>
      <c r="E182" s="21" t="s">
        <v>29</v>
      </c>
      <c r="F182" s="22" t="s">
        <v>1058</v>
      </c>
      <c r="G182" s="22" t="s">
        <v>1059</v>
      </c>
      <c r="H182" s="22" t="s">
        <v>1060</v>
      </c>
      <c r="I182" s="22" t="s">
        <v>1061</v>
      </c>
      <c r="J182" s="22" t="s">
        <v>1062</v>
      </c>
      <c r="K182" s="21" t="s">
        <v>40</v>
      </c>
      <c r="L182" s="22" t="s">
        <v>15</v>
      </c>
      <c r="M182" s="23" t="s">
        <v>15</v>
      </c>
      <c r="N182" s="22" t="s">
        <v>15</v>
      </c>
    </row>
    <row r="183" spans="1:14" x14ac:dyDescent="0.25">
      <c r="A183" s="21" t="s">
        <v>1063</v>
      </c>
      <c r="B183" s="22" t="s">
        <v>52</v>
      </c>
      <c r="C183" s="22" t="s">
        <v>1064</v>
      </c>
      <c r="D183" s="21" t="s">
        <v>18</v>
      </c>
      <c r="E183" s="21" t="s">
        <v>29</v>
      </c>
      <c r="F183" s="22" t="s">
        <v>1065</v>
      </c>
      <c r="G183" s="22" t="s">
        <v>1066</v>
      </c>
      <c r="H183" s="22" t="s">
        <v>1067</v>
      </c>
      <c r="I183" s="22" t="s">
        <v>1068</v>
      </c>
      <c r="J183" s="22" t="s">
        <v>1069</v>
      </c>
      <c r="K183" s="21" t="s">
        <v>40</v>
      </c>
      <c r="L183" s="22" t="s">
        <v>15</v>
      </c>
      <c r="M183" s="23" t="s">
        <v>15</v>
      </c>
      <c r="N183" s="22" t="s">
        <v>15</v>
      </c>
    </row>
    <row r="184" spans="1:14" x14ac:dyDescent="0.25">
      <c r="A184" s="21" t="s">
        <v>1070</v>
      </c>
      <c r="B184" s="22" t="s">
        <v>52</v>
      </c>
      <c r="C184" s="22" t="s">
        <v>62</v>
      </c>
      <c r="D184" s="21" t="s">
        <v>24</v>
      </c>
      <c r="E184" s="21" t="s">
        <v>27</v>
      </c>
      <c r="F184" s="22" t="s">
        <v>1071</v>
      </c>
      <c r="G184" s="22" t="s">
        <v>1072</v>
      </c>
      <c r="H184" s="22" t="s">
        <v>1073</v>
      </c>
      <c r="I184" s="22" t="s">
        <v>1074</v>
      </c>
      <c r="J184" s="22" t="s">
        <v>1075</v>
      </c>
      <c r="K184" s="21" t="s">
        <v>40</v>
      </c>
      <c r="L184" s="22" t="s">
        <v>15</v>
      </c>
      <c r="M184" s="23" t="s">
        <v>15</v>
      </c>
      <c r="N184" s="22" t="s">
        <v>15</v>
      </c>
    </row>
    <row r="185" spans="1:14" x14ac:dyDescent="0.25">
      <c r="A185" s="21" t="s">
        <v>1076</v>
      </c>
      <c r="B185" s="22" t="s">
        <v>53</v>
      </c>
      <c r="C185" s="22" t="s">
        <v>121</v>
      </c>
      <c r="D185" s="21" t="s">
        <v>16</v>
      </c>
      <c r="E185" s="21" t="s">
        <v>27</v>
      </c>
      <c r="F185" s="22" t="s">
        <v>1077</v>
      </c>
      <c r="G185" s="22" t="s">
        <v>93</v>
      </c>
      <c r="H185" s="22" t="s">
        <v>1078</v>
      </c>
      <c r="I185" s="22" t="s">
        <v>1079</v>
      </c>
      <c r="J185" s="22" t="s">
        <v>1080</v>
      </c>
      <c r="K185" s="21" t="s">
        <v>40</v>
      </c>
      <c r="L185" s="22" t="s">
        <v>15</v>
      </c>
      <c r="M185" s="23" t="s">
        <v>15</v>
      </c>
      <c r="N185" s="22" t="s">
        <v>15</v>
      </c>
    </row>
    <row r="186" spans="1:14" x14ac:dyDescent="0.25">
      <c r="A186" s="21" t="s">
        <v>1081</v>
      </c>
      <c r="B186" s="22" t="s">
        <v>53</v>
      </c>
      <c r="C186" s="22" t="s">
        <v>121</v>
      </c>
      <c r="D186" s="21" t="s">
        <v>16</v>
      </c>
      <c r="E186" s="21" t="s">
        <v>27</v>
      </c>
      <c r="F186" s="22" t="s">
        <v>583</v>
      </c>
      <c r="G186" s="22" t="s">
        <v>93</v>
      </c>
      <c r="H186" s="22" t="s">
        <v>584</v>
      </c>
      <c r="I186" s="22" t="s">
        <v>1082</v>
      </c>
      <c r="J186" s="22" t="s">
        <v>1083</v>
      </c>
      <c r="K186" s="21" t="s">
        <v>40</v>
      </c>
      <c r="L186" s="22" t="s">
        <v>15</v>
      </c>
      <c r="M186" s="23" t="s">
        <v>15</v>
      </c>
      <c r="N186" s="22" t="s">
        <v>15</v>
      </c>
    </row>
    <row r="187" spans="1:14" x14ac:dyDescent="0.25">
      <c r="A187" s="21" t="s">
        <v>1084</v>
      </c>
      <c r="B187" s="22" t="s">
        <v>53</v>
      </c>
      <c r="C187" s="22" t="s">
        <v>1085</v>
      </c>
      <c r="D187" s="21" t="s">
        <v>16</v>
      </c>
      <c r="E187" s="21" t="s">
        <v>27</v>
      </c>
      <c r="F187" s="22" t="s">
        <v>1086</v>
      </c>
      <c r="G187" s="22" t="s">
        <v>332</v>
      </c>
      <c r="H187" s="22" t="s">
        <v>1087</v>
      </c>
      <c r="I187" s="22" t="s">
        <v>1088</v>
      </c>
      <c r="J187" s="22" t="s">
        <v>1089</v>
      </c>
      <c r="K187" s="21" t="s">
        <v>40</v>
      </c>
      <c r="L187" s="22" t="s">
        <v>15</v>
      </c>
      <c r="M187" s="23" t="s">
        <v>15</v>
      </c>
      <c r="N187" s="22" t="s">
        <v>15</v>
      </c>
    </row>
    <row r="188" spans="1:14" x14ac:dyDescent="0.25">
      <c r="A188" s="21" t="s">
        <v>1090</v>
      </c>
      <c r="B188" s="22" t="s">
        <v>53</v>
      </c>
      <c r="C188" s="22" t="s">
        <v>1085</v>
      </c>
      <c r="D188" s="21" t="s">
        <v>20</v>
      </c>
      <c r="E188" s="21" t="s">
        <v>29</v>
      </c>
      <c r="F188" s="22" t="s">
        <v>1091</v>
      </c>
      <c r="G188" s="22" t="s">
        <v>1092</v>
      </c>
      <c r="H188" s="22" t="s">
        <v>1093</v>
      </c>
      <c r="I188" s="22" t="s">
        <v>1094</v>
      </c>
      <c r="J188" s="22" t="s">
        <v>1089</v>
      </c>
      <c r="K188" s="21" t="s">
        <v>40</v>
      </c>
      <c r="L188" s="22" t="s">
        <v>15</v>
      </c>
      <c r="M188" s="23" t="s">
        <v>15</v>
      </c>
      <c r="N188" s="22" t="s">
        <v>15</v>
      </c>
    </row>
    <row r="189" spans="1:14" x14ac:dyDescent="0.25">
      <c r="A189" s="21" t="s">
        <v>1095</v>
      </c>
      <c r="B189" s="22" t="s">
        <v>53</v>
      </c>
      <c r="C189" s="22" t="s">
        <v>1096</v>
      </c>
      <c r="D189" s="21" t="s">
        <v>16</v>
      </c>
      <c r="E189" s="21" t="s">
        <v>29</v>
      </c>
      <c r="F189" s="22" t="s">
        <v>1097</v>
      </c>
      <c r="G189" s="22" t="s">
        <v>1098</v>
      </c>
      <c r="H189" s="22" t="s">
        <v>1099</v>
      </c>
      <c r="I189" s="22" t="s">
        <v>1100</v>
      </c>
      <c r="J189" s="22" t="s">
        <v>1101</v>
      </c>
      <c r="K189" s="21" t="s">
        <v>40</v>
      </c>
      <c r="L189" s="22" t="s">
        <v>15</v>
      </c>
      <c r="M189" s="23" t="s">
        <v>15</v>
      </c>
      <c r="N189" s="22" t="s">
        <v>15</v>
      </c>
    </row>
    <row r="190" spans="1:14" x14ac:dyDescent="0.25">
      <c r="A190" s="21" t="s">
        <v>1102</v>
      </c>
      <c r="B190" s="22" t="s">
        <v>53</v>
      </c>
      <c r="C190" s="22" t="s">
        <v>1096</v>
      </c>
      <c r="D190" s="21" t="s">
        <v>18</v>
      </c>
      <c r="E190" s="21" t="s">
        <v>29</v>
      </c>
      <c r="F190" s="22" t="s">
        <v>1103</v>
      </c>
      <c r="G190" s="22" t="s">
        <v>1104</v>
      </c>
      <c r="H190" s="22" t="s">
        <v>1099</v>
      </c>
      <c r="I190" s="22" t="s">
        <v>1105</v>
      </c>
      <c r="J190" s="22" t="s">
        <v>1101</v>
      </c>
      <c r="K190" s="21" t="s">
        <v>40</v>
      </c>
      <c r="L190" s="22" t="s">
        <v>15</v>
      </c>
      <c r="M190" s="23" t="s">
        <v>15</v>
      </c>
      <c r="N190" s="22" t="s">
        <v>15</v>
      </c>
    </row>
    <row r="191" spans="1:14" x14ac:dyDescent="0.25">
      <c r="A191" s="21" t="s">
        <v>1106</v>
      </c>
      <c r="B191" s="22" t="s">
        <v>53</v>
      </c>
      <c r="C191" s="22" t="s">
        <v>1096</v>
      </c>
      <c r="D191" s="21" t="s">
        <v>18</v>
      </c>
      <c r="E191" s="21" t="s">
        <v>29</v>
      </c>
      <c r="F191" s="22" t="s">
        <v>1107</v>
      </c>
      <c r="G191" s="22" t="s">
        <v>1108</v>
      </c>
      <c r="H191" s="22" t="s">
        <v>1099</v>
      </c>
      <c r="I191" s="22" t="s">
        <v>1109</v>
      </c>
      <c r="J191" s="22" t="s">
        <v>1101</v>
      </c>
      <c r="K191" s="21" t="s">
        <v>40</v>
      </c>
      <c r="L191" s="22" t="s">
        <v>15</v>
      </c>
      <c r="M191" s="23" t="s">
        <v>15</v>
      </c>
      <c r="N191" s="22" t="s">
        <v>15</v>
      </c>
    </row>
    <row r="192" spans="1:14" x14ac:dyDescent="0.25">
      <c r="A192" s="21" t="s">
        <v>1110</v>
      </c>
      <c r="B192" s="22" t="s">
        <v>53</v>
      </c>
      <c r="C192" s="22" t="s">
        <v>1096</v>
      </c>
      <c r="D192" s="21" t="s">
        <v>18</v>
      </c>
      <c r="E192" s="21" t="s">
        <v>29</v>
      </c>
      <c r="F192" s="22" t="s">
        <v>1111</v>
      </c>
      <c r="G192" s="22" t="s">
        <v>1112</v>
      </c>
      <c r="H192" s="22" t="s">
        <v>1099</v>
      </c>
      <c r="I192" s="22" t="s">
        <v>1113</v>
      </c>
      <c r="J192" s="22" t="s">
        <v>1101</v>
      </c>
      <c r="K192" s="21" t="s">
        <v>40</v>
      </c>
      <c r="L192" s="22" t="s">
        <v>15</v>
      </c>
      <c r="M192" s="23" t="s">
        <v>15</v>
      </c>
      <c r="N192" s="22" t="s">
        <v>15</v>
      </c>
    </row>
    <row r="193" spans="1:14" x14ac:dyDescent="0.25">
      <c r="A193" s="21" t="s">
        <v>1114</v>
      </c>
      <c r="B193" s="22" t="s">
        <v>53</v>
      </c>
      <c r="C193" s="22" t="s">
        <v>1096</v>
      </c>
      <c r="D193" s="21" t="s">
        <v>18</v>
      </c>
      <c r="E193" s="21" t="s">
        <v>29</v>
      </c>
      <c r="F193" s="22" t="s">
        <v>1115</v>
      </c>
      <c r="G193" s="22" t="s">
        <v>1116</v>
      </c>
      <c r="H193" s="22" t="s">
        <v>1099</v>
      </c>
      <c r="I193" s="22" t="s">
        <v>1117</v>
      </c>
      <c r="J193" s="22" t="s">
        <v>1101</v>
      </c>
      <c r="K193" s="21" t="s">
        <v>40</v>
      </c>
      <c r="L193" s="22" t="s">
        <v>15</v>
      </c>
      <c r="M193" s="23" t="s">
        <v>15</v>
      </c>
      <c r="N193" s="22" t="s">
        <v>15</v>
      </c>
    </row>
    <row r="194" spans="1:14" x14ac:dyDescent="0.25">
      <c r="A194" s="21" t="s">
        <v>1118</v>
      </c>
      <c r="B194" s="22" t="s">
        <v>53</v>
      </c>
      <c r="C194" s="22" t="s">
        <v>1119</v>
      </c>
      <c r="D194" s="21" t="s">
        <v>16</v>
      </c>
      <c r="E194" s="21" t="s">
        <v>29</v>
      </c>
      <c r="F194" s="22" t="s">
        <v>1120</v>
      </c>
      <c r="G194" s="22" t="s">
        <v>1121</v>
      </c>
      <c r="H194" s="22" t="s">
        <v>1122</v>
      </c>
      <c r="I194" s="22" t="s">
        <v>1123</v>
      </c>
      <c r="J194" s="22" t="s">
        <v>1124</v>
      </c>
      <c r="K194" s="21" t="s">
        <v>40</v>
      </c>
      <c r="L194" s="22" t="s">
        <v>15</v>
      </c>
      <c r="M194" s="23" t="s">
        <v>15</v>
      </c>
      <c r="N194" s="22" t="s">
        <v>15</v>
      </c>
    </row>
    <row r="195" spans="1:14" x14ac:dyDescent="0.25">
      <c r="A195" s="21" t="s">
        <v>1125</v>
      </c>
      <c r="B195" s="22" t="s">
        <v>53</v>
      </c>
      <c r="C195" s="22" t="s">
        <v>1119</v>
      </c>
      <c r="D195" s="21" t="s">
        <v>20</v>
      </c>
      <c r="E195" s="21" t="s">
        <v>29</v>
      </c>
      <c r="F195" s="22" t="s">
        <v>1126</v>
      </c>
      <c r="G195" s="22" t="s">
        <v>1127</v>
      </c>
      <c r="H195" s="22" t="s">
        <v>1122</v>
      </c>
      <c r="I195" s="22" t="s">
        <v>1128</v>
      </c>
      <c r="J195" s="22" t="s">
        <v>1129</v>
      </c>
      <c r="K195" s="21" t="s">
        <v>40</v>
      </c>
      <c r="L195" s="22" t="s">
        <v>15</v>
      </c>
      <c r="M195" s="23" t="s">
        <v>15</v>
      </c>
      <c r="N195" s="22" t="s">
        <v>15</v>
      </c>
    </row>
    <row r="196" spans="1:14" x14ac:dyDescent="0.25">
      <c r="A196" s="21" t="s">
        <v>1130</v>
      </c>
      <c r="B196" s="22" t="s">
        <v>53</v>
      </c>
      <c r="C196" s="22" t="s">
        <v>407</v>
      </c>
      <c r="D196" s="21" t="s">
        <v>16</v>
      </c>
      <c r="E196" s="21" t="s">
        <v>29</v>
      </c>
      <c r="F196" s="22" t="s">
        <v>1131</v>
      </c>
      <c r="G196" s="22" t="s">
        <v>332</v>
      </c>
      <c r="H196" s="22" t="s">
        <v>1132</v>
      </c>
      <c r="I196" s="22" t="s">
        <v>1133</v>
      </c>
      <c r="J196" s="22" t="s">
        <v>1134</v>
      </c>
      <c r="K196" s="21" t="s">
        <v>40</v>
      </c>
      <c r="L196" s="22" t="s">
        <v>15</v>
      </c>
      <c r="M196" s="23" t="s">
        <v>15</v>
      </c>
      <c r="N196" s="22" t="s">
        <v>15</v>
      </c>
    </row>
    <row r="197" spans="1:14" x14ac:dyDescent="0.25">
      <c r="A197" s="21" t="s">
        <v>1135</v>
      </c>
      <c r="B197" s="22" t="s">
        <v>53</v>
      </c>
      <c r="C197" s="22" t="s">
        <v>821</v>
      </c>
      <c r="D197" s="21" t="s">
        <v>16</v>
      </c>
      <c r="E197" s="21" t="s">
        <v>31</v>
      </c>
      <c r="F197" s="22" t="s">
        <v>1136</v>
      </c>
      <c r="G197" s="22" t="s">
        <v>332</v>
      </c>
      <c r="H197" s="22" t="s">
        <v>1137</v>
      </c>
      <c r="I197" s="22" t="s">
        <v>1138</v>
      </c>
      <c r="J197" s="22" t="s">
        <v>1139</v>
      </c>
      <c r="K197" s="21" t="s">
        <v>40</v>
      </c>
      <c r="L197" s="22" t="s">
        <v>15</v>
      </c>
      <c r="M197" s="23" t="s">
        <v>15</v>
      </c>
      <c r="N197" s="22" t="s">
        <v>15</v>
      </c>
    </row>
    <row r="198" spans="1:14" x14ac:dyDescent="0.25">
      <c r="A198" s="21" t="s">
        <v>1140</v>
      </c>
      <c r="B198" s="22" t="s">
        <v>53</v>
      </c>
      <c r="C198" s="22" t="s">
        <v>1141</v>
      </c>
      <c r="D198" s="21" t="s">
        <v>16</v>
      </c>
      <c r="E198" s="21" t="s">
        <v>27</v>
      </c>
      <c r="F198" s="22" t="s">
        <v>1142</v>
      </c>
      <c r="G198" s="22" t="s">
        <v>332</v>
      </c>
      <c r="H198" s="22" t="s">
        <v>1078</v>
      </c>
      <c r="I198" s="22" t="s">
        <v>1143</v>
      </c>
      <c r="J198" s="22" t="s">
        <v>1144</v>
      </c>
      <c r="K198" s="21" t="s">
        <v>40</v>
      </c>
      <c r="L198" s="22" t="s">
        <v>15</v>
      </c>
      <c r="M198" s="23" t="s">
        <v>15</v>
      </c>
      <c r="N198" s="22" t="s">
        <v>15</v>
      </c>
    </row>
    <row r="199" spans="1:14" x14ac:dyDescent="0.25">
      <c r="A199" s="21" t="s">
        <v>1145</v>
      </c>
      <c r="B199" s="22" t="s">
        <v>53</v>
      </c>
      <c r="C199" s="22" t="s">
        <v>1141</v>
      </c>
      <c r="D199" s="21" t="s">
        <v>16</v>
      </c>
      <c r="E199" s="21" t="s">
        <v>27</v>
      </c>
      <c r="F199" s="22" t="s">
        <v>1146</v>
      </c>
      <c r="G199" s="22" t="s">
        <v>332</v>
      </c>
      <c r="H199" s="22" t="s">
        <v>1147</v>
      </c>
      <c r="I199" s="22" t="s">
        <v>1148</v>
      </c>
      <c r="J199" s="22" t="s">
        <v>1144</v>
      </c>
      <c r="K199" s="21" t="s">
        <v>40</v>
      </c>
      <c r="L199" s="22" t="s">
        <v>15</v>
      </c>
      <c r="M199" s="23" t="s">
        <v>15</v>
      </c>
      <c r="N199" s="22" t="s">
        <v>15</v>
      </c>
    </row>
    <row r="200" spans="1:14" x14ac:dyDescent="0.25">
      <c r="A200" s="21" t="s">
        <v>1149</v>
      </c>
      <c r="B200" s="22" t="s">
        <v>53</v>
      </c>
      <c r="C200" s="22" t="s">
        <v>1141</v>
      </c>
      <c r="D200" s="21" t="s">
        <v>16</v>
      </c>
      <c r="E200" s="21" t="s">
        <v>27</v>
      </c>
      <c r="F200" s="22" t="s">
        <v>1150</v>
      </c>
      <c r="G200" s="22" t="s">
        <v>332</v>
      </c>
      <c r="H200" s="22" t="s">
        <v>1151</v>
      </c>
      <c r="I200" s="22" t="s">
        <v>1152</v>
      </c>
      <c r="J200" s="22" t="s">
        <v>1153</v>
      </c>
      <c r="K200" s="21" t="s">
        <v>40</v>
      </c>
      <c r="L200" s="22" t="s">
        <v>15</v>
      </c>
      <c r="M200" s="23" t="s">
        <v>15</v>
      </c>
      <c r="N200" s="22" t="s">
        <v>15</v>
      </c>
    </row>
    <row r="201" spans="1:14" x14ac:dyDescent="0.25">
      <c r="A201" s="21" t="s">
        <v>1154</v>
      </c>
      <c r="B201" s="22" t="s">
        <v>53</v>
      </c>
      <c r="C201" s="22" t="s">
        <v>1141</v>
      </c>
      <c r="D201" s="21" t="s">
        <v>20</v>
      </c>
      <c r="E201" s="21" t="s">
        <v>27</v>
      </c>
      <c r="F201" s="22" t="s">
        <v>1155</v>
      </c>
      <c r="G201" s="22" t="s">
        <v>1156</v>
      </c>
      <c r="H201" s="22" t="s">
        <v>1157</v>
      </c>
      <c r="I201" s="22" t="s">
        <v>1158</v>
      </c>
      <c r="J201" s="22" t="s">
        <v>1159</v>
      </c>
      <c r="K201" s="21" t="s">
        <v>40</v>
      </c>
      <c r="L201" s="22" t="s">
        <v>15</v>
      </c>
      <c r="M201" s="23" t="s">
        <v>15</v>
      </c>
      <c r="N201" s="22" t="s">
        <v>15</v>
      </c>
    </row>
    <row r="202" spans="1:14" x14ac:dyDescent="0.25">
      <c r="A202" s="21" t="s">
        <v>1160</v>
      </c>
      <c r="B202" s="22" t="s">
        <v>53</v>
      </c>
      <c r="C202" s="22" t="s">
        <v>1141</v>
      </c>
      <c r="D202" s="21" t="s">
        <v>20</v>
      </c>
      <c r="E202" s="21" t="s">
        <v>27</v>
      </c>
      <c r="F202" s="22" t="s">
        <v>1161</v>
      </c>
      <c r="G202" s="22" t="s">
        <v>1162</v>
      </c>
      <c r="H202" s="22" t="s">
        <v>1163</v>
      </c>
      <c r="I202" s="22" t="s">
        <v>1164</v>
      </c>
      <c r="J202" s="22" t="s">
        <v>1153</v>
      </c>
      <c r="K202" s="21" t="s">
        <v>40</v>
      </c>
      <c r="L202" s="22" t="s">
        <v>15</v>
      </c>
      <c r="M202" s="23" t="s">
        <v>15</v>
      </c>
      <c r="N202" s="22" t="s">
        <v>15</v>
      </c>
    </row>
    <row r="203" spans="1:14" x14ac:dyDescent="0.25">
      <c r="A203" s="21" t="s">
        <v>1165</v>
      </c>
      <c r="B203" s="22" t="s">
        <v>53</v>
      </c>
      <c r="C203" s="22" t="s">
        <v>1141</v>
      </c>
      <c r="D203" s="21" t="s">
        <v>20</v>
      </c>
      <c r="E203" s="21" t="s">
        <v>29</v>
      </c>
      <c r="F203" s="22" t="s">
        <v>1166</v>
      </c>
      <c r="G203" s="22" t="s">
        <v>1167</v>
      </c>
      <c r="H203" s="22" t="s">
        <v>1168</v>
      </c>
      <c r="I203" s="22" t="s">
        <v>1169</v>
      </c>
      <c r="J203" s="22" t="s">
        <v>1159</v>
      </c>
      <c r="K203" s="21" t="s">
        <v>40</v>
      </c>
      <c r="L203" s="22" t="s">
        <v>15</v>
      </c>
      <c r="M203" s="23" t="s">
        <v>15</v>
      </c>
      <c r="N203" s="22" t="s">
        <v>15</v>
      </c>
    </row>
    <row r="204" spans="1:14" x14ac:dyDescent="0.25">
      <c r="A204" s="21" t="s">
        <v>1170</v>
      </c>
      <c r="B204" s="22" t="s">
        <v>53</v>
      </c>
      <c r="C204" s="22" t="s">
        <v>1141</v>
      </c>
      <c r="D204" s="21" t="s">
        <v>20</v>
      </c>
      <c r="E204" s="21" t="s">
        <v>31</v>
      </c>
      <c r="F204" s="22" t="s">
        <v>1171</v>
      </c>
      <c r="G204" s="22" t="s">
        <v>1172</v>
      </c>
      <c r="H204" s="22" t="s">
        <v>1173</v>
      </c>
      <c r="I204" s="22" t="s">
        <v>1174</v>
      </c>
      <c r="J204" s="22" t="s">
        <v>1159</v>
      </c>
      <c r="K204" s="21" t="s">
        <v>40</v>
      </c>
      <c r="L204" s="22" t="s">
        <v>15</v>
      </c>
      <c r="M204" s="23" t="s">
        <v>15</v>
      </c>
      <c r="N204" s="22" t="s">
        <v>15</v>
      </c>
    </row>
    <row r="205" spans="1:14" x14ac:dyDescent="0.25">
      <c r="A205" s="21" t="s">
        <v>1175</v>
      </c>
      <c r="B205" s="22" t="s">
        <v>53</v>
      </c>
      <c r="C205" s="22" t="s">
        <v>1176</v>
      </c>
      <c r="D205" s="21" t="s">
        <v>16</v>
      </c>
      <c r="E205" s="21" t="s">
        <v>27</v>
      </c>
      <c r="F205" s="22" t="s">
        <v>1177</v>
      </c>
      <c r="G205" s="22" t="s">
        <v>332</v>
      </c>
      <c r="H205" s="22" t="s">
        <v>1178</v>
      </c>
      <c r="I205" s="22" t="s">
        <v>1179</v>
      </c>
      <c r="J205" s="22" t="s">
        <v>1180</v>
      </c>
      <c r="K205" s="21" t="s">
        <v>40</v>
      </c>
      <c r="L205" s="22" t="s">
        <v>15</v>
      </c>
      <c r="M205" s="23" t="s">
        <v>15</v>
      </c>
      <c r="N205" s="22" t="s">
        <v>15</v>
      </c>
    </row>
    <row r="206" spans="1:14" x14ac:dyDescent="0.25">
      <c r="A206" s="21" t="s">
        <v>1181</v>
      </c>
      <c r="B206" s="22" t="s">
        <v>53</v>
      </c>
      <c r="C206" s="22" t="s">
        <v>1176</v>
      </c>
      <c r="D206" s="21" t="s">
        <v>16</v>
      </c>
      <c r="E206" s="21" t="s">
        <v>29</v>
      </c>
      <c r="F206" s="22" t="s">
        <v>1182</v>
      </c>
      <c r="G206" s="22" t="s">
        <v>332</v>
      </c>
      <c r="H206" s="22" t="s">
        <v>1183</v>
      </c>
      <c r="I206" s="22" t="s">
        <v>1184</v>
      </c>
      <c r="J206" s="22" t="s">
        <v>1185</v>
      </c>
      <c r="K206" s="21" t="s">
        <v>40</v>
      </c>
      <c r="L206" s="22" t="s">
        <v>15</v>
      </c>
      <c r="M206" s="23" t="s">
        <v>15</v>
      </c>
      <c r="N206" s="22" t="s">
        <v>15</v>
      </c>
    </row>
    <row r="207" spans="1:14" x14ac:dyDescent="0.25">
      <c r="A207" s="21" t="s">
        <v>1186</v>
      </c>
      <c r="B207" s="22" t="s">
        <v>53</v>
      </c>
      <c r="C207" s="22" t="s">
        <v>1187</v>
      </c>
      <c r="D207" s="21" t="s">
        <v>16</v>
      </c>
      <c r="E207" s="21" t="s">
        <v>27</v>
      </c>
      <c r="F207" s="22" t="s">
        <v>1188</v>
      </c>
      <c r="G207" s="22" t="s">
        <v>1189</v>
      </c>
      <c r="H207" s="22" t="s">
        <v>1190</v>
      </c>
      <c r="I207" s="22" t="s">
        <v>1191</v>
      </c>
      <c r="J207" s="22" t="s">
        <v>1192</v>
      </c>
      <c r="K207" s="21" t="s">
        <v>40</v>
      </c>
      <c r="L207" s="22" t="s">
        <v>15</v>
      </c>
      <c r="M207" s="23" t="s">
        <v>15</v>
      </c>
      <c r="N207" s="22" t="s">
        <v>15</v>
      </c>
    </row>
    <row r="208" spans="1:14" x14ac:dyDescent="0.25">
      <c r="A208" s="21" t="s">
        <v>1193</v>
      </c>
      <c r="B208" s="22" t="s">
        <v>53</v>
      </c>
      <c r="C208" s="22" t="s">
        <v>1187</v>
      </c>
      <c r="D208" s="21" t="s">
        <v>20</v>
      </c>
      <c r="E208" s="21" t="s">
        <v>27</v>
      </c>
      <c r="F208" s="22" t="s">
        <v>1194</v>
      </c>
      <c r="G208" s="22" t="s">
        <v>1195</v>
      </c>
      <c r="H208" s="22" t="s">
        <v>1196</v>
      </c>
      <c r="I208" s="22" t="s">
        <v>1197</v>
      </c>
      <c r="J208" s="22" t="s">
        <v>1198</v>
      </c>
      <c r="K208" s="21" t="s">
        <v>40</v>
      </c>
      <c r="L208" s="22" t="s">
        <v>15</v>
      </c>
      <c r="M208" s="23" t="s">
        <v>15</v>
      </c>
      <c r="N208" s="22" t="s">
        <v>15</v>
      </c>
    </row>
    <row r="209" spans="1:14" x14ac:dyDescent="0.25">
      <c r="A209" s="21" t="s">
        <v>1199</v>
      </c>
      <c r="B209" s="22" t="s">
        <v>53</v>
      </c>
      <c r="C209" s="22" t="s">
        <v>1187</v>
      </c>
      <c r="D209" s="21" t="s">
        <v>16</v>
      </c>
      <c r="E209" s="21" t="s">
        <v>29</v>
      </c>
      <c r="F209" s="22" t="s">
        <v>1200</v>
      </c>
      <c r="G209" s="22" t="s">
        <v>1201</v>
      </c>
      <c r="H209" s="22" t="s">
        <v>1202</v>
      </c>
      <c r="I209" s="22" t="s">
        <v>1203</v>
      </c>
      <c r="J209" s="22" t="s">
        <v>1198</v>
      </c>
      <c r="K209" s="21" t="s">
        <v>40</v>
      </c>
      <c r="L209" s="22" t="s">
        <v>15</v>
      </c>
      <c r="M209" s="23" t="s">
        <v>15</v>
      </c>
      <c r="N209" s="22" t="s">
        <v>15</v>
      </c>
    </row>
    <row r="210" spans="1:14" x14ac:dyDescent="0.25">
      <c r="A210" s="21" t="s">
        <v>1204</v>
      </c>
      <c r="B210" s="22" t="s">
        <v>53</v>
      </c>
      <c r="C210" s="22" t="s">
        <v>1187</v>
      </c>
      <c r="D210" s="21" t="s">
        <v>20</v>
      </c>
      <c r="E210" s="21" t="s">
        <v>27</v>
      </c>
      <c r="F210" s="22" t="s">
        <v>1205</v>
      </c>
      <c r="G210" s="22" t="s">
        <v>1206</v>
      </c>
      <c r="H210" s="22" t="s">
        <v>1207</v>
      </c>
      <c r="I210" s="22" t="s">
        <v>1208</v>
      </c>
      <c r="J210" s="22" t="s">
        <v>1198</v>
      </c>
      <c r="K210" s="21" t="s">
        <v>40</v>
      </c>
      <c r="L210" s="22" t="s">
        <v>15</v>
      </c>
      <c r="M210" s="23" t="s">
        <v>15</v>
      </c>
      <c r="N210" s="22" t="s">
        <v>15</v>
      </c>
    </row>
    <row r="211" spans="1:14" x14ac:dyDescent="0.25">
      <c r="A211" s="21" t="s">
        <v>1209</v>
      </c>
      <c r="B211" s="22" t="s">
        <v>53</v>
      </c>
      <c r="C211" s="22" t="s">
        <v>1187</v>
      </c>
      <c r="D211" s="21" t="s">
        <v>20</v>
      </c>
      <c r="E211" s="21" t="s">
        <v>29</v>
      </c>
      <c r="F211" s="22" t="s">
        <v>1210</v>
      </c>
      <c r="G211" s="22" t="s">
        <v>1211</v>
      </c>
      <c r="H211" s="22" t="s">
        <v>1190</v>
      </c>
      <c r="I211" s="22" t="s">
        <v>1212</v>
      </c>
      <c r="J211" s="22" t="s">
        <v>1198</v>
      </c>
      <c r="K211" s="21" t="s">
        <v>40</v>
      </c>
      <c r="L211" s="22" t="s">
        <v>15</v>
      </c>
      <c r="M211" s="23" t="s">
        <v>15</v>
      </c>
      <c r="N211" s="22" t="s">
        <v>15</v>
      </c>
    </row>
    <row r="212" spans="1:14" x14ac:dyDescent="0.25">
      <c r="A212" s="21" t="s">
        <v>1213</v>
      </c>
      <c r="B212" s="22" t="s">
        <v>53</v>
      </c>
      <c r="C212" s="22" t="s">
        <v>1187</v>
      </c>
      <c r="D212" s="21" t="s">
        <v>16</v>
      </c>
      <c r="E212" s="21" t="s">
        <v>31</v>
      </c>
      <c r="F212" s="22" t="s">
        <v>1214</v>
      </c>
      <c r="G212" s="22" t="s">
        <v>332</v>
      </c>
      <c r="H212" s="22" t="s">
        <v>1215</v>
      </c>
      <c r="I212" s="22" t="s">
        <v>1216</v>
      </c>
      <c r="J212" s="22" t="s">
        <v>1217</v>
      </c>
      <c r="K212" s="21" t="s">
        <v>40</v>
      </c>
      <c r="L212" s="22" t="s">
        <v>15</v>
      </c>
      <c r="M212" s="23" t="s">
        <v>15</v>
      </c>
      <c r="N212" s="22" t="s">
        <v>15</v>
      </c>
    </row>
    <row r="213" spans="1:14" x14ac:dyDescent="0.25">
      <c r="A213" s="21" t="s">
        <v>1218</v>
      </c>
      <c r="B213" s="22" t="s">
        <v>53</v>
      </c>
      <c r="C213" s="22" t="s">
        <v>1219</v>
      </c>
      <c r="D213" s="21" t="s">
        <v>16</v>
      </c>
      <c r="E213" s="21" t="s">
        <v>27</v>
      </c>
      <c r="F213" s="22" t="s">
        <v>1220</v>
      </c>
      <c r="G213" s="22" t="s">
        <v>332</v>
      </c>
      <c r="H213" s="22" t="s">
        <v>1221</v>
      </c>
      <c r="I213" s="22" t="s">
        <v>1222</v>
      </c>
      <c r="J213" s="22" t="s">
        <v>1223</v>
      </c>
      <c r="K213" s="21" t="s">
        <v>40</v>
      </c>
      <c r="L213" s="22" t="s">
        <v>15</v>
      </c>
      <c r="M213" s="23" t="s">
        <v>15</v>
      </c>
      <c r="N213" s="22" t="s">
        <v>15</v>
      </c>
    </row>
    <row r="214" spans="1:14" x14ac:dyDescent="0.25">
      <c r="A214" s="21" t="s">
        <v>1224</v>
      </c>
      <c r="B214" s="22" t="s">
        <v>53</v>
      </c>
      <c r="C214" s="22" t="s">
        <v>1219</v>
      </c>
      <c r="D214" s="21" t="s">
        <v>20</v>
      </c>
      <c r="E214" s="21" t="s">
        <v>27</v>
      </c>
      <c r="F214" s="22" t="s">
        <v>1225</v>
      </c>
      <c r="G214" s="22" t="s">
        <v>1226</v>
      </c>
      <c r="H214" s="22" t="s">
        <v>1227</v>
      </c>
      <c r="I214" s="22" t="s">
        <v>1228</v>
      </c>
      <c r="J214" s="22" t="s">
        <v>1229</v>
      </c>
      <c r="K214" s="21" t="s">
        <v>40</v>
      </c>
      <c r="L214" s="22" t="s">
        <v>15</v>
      </c>
      <c r="M214" s="23" t="s">
        <v>15</v>
      </c>
      <c r="N214" s="22" t="s">
        <v>15</v>
      </c>
    </row>
    <row r="215" spans="1:14" x14ac:dyDescent="0.25">
      <c r="A215" s="21" t="s">
        <v>1230</v>
      </c>
      <c r="B215" s="22" t="s">
        <v>53</v>
      </c>
      <c r="C215" s="22" t="s">
        <v>1219</v>
      </c>
      <c r="D215" s="21" t="s">
        <v>16</v>
      </c>
      <c r="E215" s="21" t="s">
        <v>29</v>
      </c>
      <c r="F215" s="22" t="s">
        <v>1231</v>
      </c>
      <c r="G215" s="22" t="s">
        <v>332</v>
      </c>
      <c r="H215" s="22" t="s">
        <v>1232</v>
      </c>
      <c r="I215" s="22" t="s">
        <v>1233</v>
      </c>
      <c r="J215" s="22" t="s">
        <v>1234</v>
      </c>
      <c r="K215" s="21" t="s">
        <v>40</v>
      </c>
      <c r="L215" s="22" t="s">
        <v>15</v>
      </c>
      <c r="M215" s="23" t="s">
        <v>15</v>
      </c>
      <c r="N215" s="22" t="s">
        <v>15</v>
      </c>
    </row>
    <row r="216" spans="1:14" x14ac:dyDescent="0.25">
      <c r="A216" s="21" t="s">
        <v>1235</v>
      </c>
      <c r="B216" s="22" t="s">
        <v>53</v>
      </c>
      <c r="C216" s="22" t="s">
        <v>1219</v>
      </c>
      <c r="D216" s="21" t="s">
        <v>20</v>
      </c>
      <c r="E216" s="21" t="s">
        <v>29</v>
      </c>
      <c r="F216" s="22" t="s">
        <v>1236</v>
      </c>
      <c r="G216" s="22" t="s">
        <v>1237</v>
      </c>
      <c r="H216" s="22" t="s">
        <v>1238</v>
      </c>
      <c r="I216" s="22" t="s">
        <v>1239</v>
      </c>
      <c r="J216" s="22" t="s">
        <v>1240</v>
      </c>
      <c r="K216" s="21" t="s">
        <v>40</v>
      </c>
      <c r="L216" s="22" t="s">
        <v>15</v>
      </c>
      <c r="M216" s="23" t="s">
        <v>15</v>
      </c>
      <c r="N216" s="22" t="s">
        <v>15</v>
      </c>
    </row>
    <row r="217" spans="1:14" x14ac:dyDescent="0.25">
      <c r="A217" s="21" t="s">
        <v>1241</v>
      </c>
      <c r="B217" s="22" t="s">
        <v>53</v>
      </c>
      <c r="C217" s="22" t="s">
        <v>1219</v>
      </c>
      <c r="D217" s="21" t="s">
        <v>16</v>
      </c>
      <c r="E217" s="21" t="s">
        <v>29</v>
      </c>
      <c r="F217" s="22" t="s">
        <v>1242</v>
      </c>
      <c r="G217" s="22" t="s">
        <v>1243</v>
      </c>
      <c r="H217" s="22" t="s">
        <v>1244</v>
      </c>
      <c r="I217" s="22" t="s">
        <v>1245</v>
      </c>
      <c r="J217" s="22" t="s">
        <v>1246</v>
      </c>
      <c r="K217" s="21" t="s">
        <v>40</v>
      </c>
      <c r="L217" s="22" t="s">
        <v>15</v>
      </c>
      <c r="M217" s="23" t="s">
        <v>15</v>
      </c>
      <c r="N217" s="22" t="s">
        <v>15</v>
      </c>
    </row>
    <row r="218" spans="1:14" x14ac:dyDescent="0.25">
      <c r="A218" s="21" t="s">
        <v>1247</v>
      </c>
      <c r="B218" s="22" t="s">
        <v>53</v>
      </c>
      <c r="C218" s="22" t="s">
        <v>1248</v>
      </c>
      <c r="D218" s="21" t="s">
        <v>16</v>
      </c>
      <c r="E218" s="21" t="s">
        <v>27</v>
      </c>
      <c r="F218" s="22" t="s">
        <v>1249</v>
      </c>
      <c r="G218" s="22" t="s">
        <v>332</v>
      </c>
      <c r="H218" s="22" t="s">
        <v>1250</v>
      </c>
      <c r="I218" s="22" t="s">
        <v>1251</v>
      </c>
      <c r="J218" s="22" t="s">
        <v>1252</v>
      </c>
      <c r="K218" s="21" t="s">
        <v>40</v>
      </c>
      <c r="L218" s="22" t="s">
        <v>15</v>
      </c>
      <c r="M218" s="23" t="s">
        <v>15</v>
      </c>
      <c r="N218" s="22" t="s">
        <v>15</v>
      </c>
    </row>
    <row r="219" spans="1:14" x14ac:dyDescent="0.25">
      <c r="A219" s="21" t="s">
        <v>1253</v>
      </c>
      <c r="B219" s="22" t="s">
        <v>53</v>
      </c>
      <c r="C219" s="22" t="s">
        <v>1248</v>
      </c>
      <c r="D219" s="21" t="s">
        <v>16</v>
      </c>
      <c r="E219" s="21" t="s">
        <v>27</v>
      </c>
      <c r="F219" s="22" t="s">
        <v>1254</v>
      </c>
      <c r="G219" s="22" t="s">
        <v>1255</v>
      </c>
      <c r="H219" s="22" t="s">
        <v>1256</v>
      </c>
      <c r="I219" s="22" t="s">
        <v>1257</v>
      </c>
      <c r="J219" s="22" t="s">
        <v>1258</v>
      </c>
      <c r="K219" s="21" t="s">
        <v>40</v>
      </c>
      <c r="L219" s="22" t="s">
        <v>15</v>
      </c>
      <c r="M219" s="23" t="s">
        <v>15</v>
      </c>
      <c r="N219" s="22" t="s">
        <v>15</v>
      </c>
    </row>
    <row r="220" spans="1:14" x14ac:dyDescent="0.25">
      <c r="A220" s="21" t="s">
        <v>1259</v>
      </c>
      <c r="B220" s="22" t="s">
        <v>53</v>
      </c>
      <c r="C220" s="22" t="s">
        <v>1248</v>
      </c>
      <c r="D220" s="21" t="s">
        <v>16</v>
      </c>
      <c r="E220" s="21" t="s">
        <v>27</v>
      </c>
      <c r="F220" s="22" t="s">
        <v>1260</v>
      </c>
      <c r="G220" s="22" t="s">
        <v>1255</v>
      </c>
      <c r="H220" s="22" t="s">
        <v>1261</v>
      </c>
      <c r="I220" s="22" t="s">
        <v>1262</v>
      </c>
      <c r="J220" s="22" t="s">
        <v>1263</v>
      </c>
      <c r="K220" s="21" t="s">
        <v>40</v>
      </c>
      <c r="L220" s="22" t="s">
        <v>15</v>
      </c>
      <c r="M220" s="23" t="s">
        <v>15</v>
      </c>
      <c r="N220" s="22" t="s">
        <v>15</v>
      </c>
    </row>
    <row r="221" spans="1:14" x14ac:dyDescent="0.25">
      <c r="A221" s="21" t="s">
        <v>1264</v>
      </c>
      <c r="B221" s="22" t="s">
        <v>53</v>
      </c>
      <c r="C221" s="22" t="s">
        <v>1248</v>
      </c>
      <c r="D221" s="21" t="s">
        <v>18</v>
      </c>
      <c r="E221" s="21" t="s">
        <v>27</v>
      </c>
      <c r="F221" s="22" t="s">
        <v>1265</v>
      </c>
      <c r="G221" s="22" t="s">
        <v>1255</v>
      </c>
      <c r="H221" s="22" t="s">
        <v>1266</v>
      </c>
      <c r="I221" s="22" t="s">
        <v>1267</v>
      </c>
      <c r="J221" s="22" t="s">
        <v>1268</v>
      </c>
      <c r="K221" s="21" t="s">
        <v>40</v>
      </c>
      <c r="L221" s="22" t="s">
        <v>15</v>
      </c>
      <c r="M221" s="23" t="s">
        <v>15</v>
      </c>
      <c r="N221" s="22" t="s">
        <v>15</v>
      </c>
    </row>
    <row r="222" spans="1:14" x14ac:dyDescent="0.25">
      <c r="A222" s="21" t="s">
        <v>1269</v>
      </c>
      <c r="B222" s="22" t="s">
        <v>53</v>
      </c>
      <c r="C222" s="22" t="s">
        <v>1248</v>
      </c>
      <c r="D222" s="21" t="s">
        <v>16</v>
      </c>
      <c r="E222" s="21" t="s">
        <v>27</v>
      </c>
      <c r="F222" s="22" t="s">
        <v>1270</v>
      </c>
      <c r="G222" s="22" t="s">
        <v>1255</v>
      </c>
      <c r="H222" s="22" t="s">
        <v>1271</v>
      </c>
      <c r="I222" s="22" t="s">
        <v>1272</v>
      </c>
      <c r="J222" s="22" t="s">
        <v>1273</v>
      </c>
      <c r="K222" s="21" t="s">
        <v>40</v>
      </c>
      <c r="L222" s="22" t="s">
        <v>15</v>
      </c>
      <c r="M222" s="23" t="s">
        <v>15</v>
      </c>
      <c r="N222" s="22" t="s">
        <v>15</v>
      </c>
    </row>
    <row r="223" spans="1:14" x14ac:dyDescent="0.25">
      <c r="A223" s="21" t="s">
        <v>1274</v>
      </c>
      <c r="B223" s="22" t="s">
        <v>53</v>
      </c>
      <c r="C223" s="22" t="s">
        <v>1248</v>
      </c>
      <c r="D223" s="21" t="s">
        <v>20</v>
      </c>
      <c r="E223" s="21" t="s">
        <v>29</v>
      </c>
      <c r="F223" s="22" t="s">
        <v>1275</v>
      </c>
      <c r="G223" s="22" t="s">
        <v>1255</v>
      </c>
      <c r="H223" s="22" t="s">
        <v>1276</v>
      </c>
      <c r="I223" s="22" t="s">
        <v>1277</v>
      </c>
      <c r="J223" s="22" t="s">
        <v>1278</v>
      </c>
      <c r="K223" s="21" t="s">
        <v>40</v>
      </c>
      <c r="L223" s="22" t="s">
        <v>15</v>
      </c>
      <c r="M223" s="23" t="s">
        <v>15</v>
      </c>
      <c r="N223" s="22" t="s">
        <v>15</v>
      </c>
    </row>
    <row r="224" spans="1:14" x14ac:dyDescent="0.25">
      <c r="A224" s="21" t="s">
        <v>1279</v>
      </c>
      <c r="B224" s="22" t="s">
        <v>53</v>
      </c>
      <c r="C224" s="22" t="s">
        <v>1248</v>
      </c>
      <c r="D224" s="21" t="s">
        <v>16</v>
      </c>
      <c r="E224" s="21" t="s">
        <v>29</v>
      </c>
      <c r="F224" s="22" t="s">
        <v>1280</v>
      </c>
      <c r="G224" s="22" t="s">
        <v>1255</v>
      </c>
      <c r="H224" s="22" t="s">
        <v>1281</v>
      </c>
      <c r="I224" s="22" t="s">
        <v>1282</v>
      </c>
      <c r="J224" s="22" t="s">
        <v>1283</v>
      </c>
      <c r="K224" s="21" t="s">
        <v>40</v>
      </c>
      <c r="L224" s="22" t="s">
        <v>15</v>
      </c>
      <c r="M224" s="23" t="s">
        <v>15</v>
      </c>
      <c r="N224" s="22" t="s">
        <v>15</v>
      </c>
    </row>
    <row r="225" spans="1:14" x14ac:dyDescent="0.25">
      <c r="A225" s="21" t="s">
        <v>1284</v>
      </c>
      <c r="B225" s="22" t="s">
        <v>53</v>
      </c>
      <c r="C225" s="22" t="s">
        <v>1248</v>
      </c>
      <c r="D225" s="21" t="s">
        <v>16</v>
      </c>
      <c r="E225" s="21" t="s">
        <v>27</v>
      </c>
      <c r="F225" s="22" t="s">
        <v>1285</v>
      </c>
      <c r="G225" s="22" t="s">
        <v>1286</v>
      </c>
      <c r="H225" s="22" t="s">
        <v>1287</v>
      </c>
      <c r="I225" s="22" t="s">
        <v>1288</v>
      </c>
      <c r="J225" s="22" t="s">
        <v>1289</v>
      </c>
      <c r="K225" s="21" t="s">
        <v>40</v>
      </c>
      <c r="L225" s="22" t="s">
        <v>15</v>
      </c>
      <c r="M225" s="23" t="s">
        <v>15</v>
      </c>
      <c r="N225" s="22" t="s">
        <v>15</v>
      </c>
    </row>
    <row r="226" spans="1:14" x14ac:dyDescent="0.25">
      <c r="A226" s="21" t="s">
        <v>1290</v>
      </c>
      <c r="B226" s="22" t="s">
        <v>53</v>
      </c>
      <c r="C226" s="22" t="s">
        <v>1248</v>
      </c>
      <c r="D226" s="21" t="s">
        <v>18</v>
      </c>
      <c r="E226" s="21" t="s">
        <v>29</v>
      </c>
      <c r="F226" s="22" t="s">
        <v>1291</v>
      </c>
      <c r="G226" s="22" t="s">
        <v>1286</v>
      </c>
      <c r="H226" s="22" t="s">
        <v>1292</v>
      </c>
      <c r="I226" s="22" t="s">
        <v>1293</v>
      </c>
      <c r="J226" s="22" t="s">
        <v>1294</v>
      </c>
      <c r="K226" s="21" t="s">
        <v>40</v>
      </c>
      <c r="L226" s="22" t="s">
        <v>15</v>
      </c>
      <c r="M226" s="23" t="s">
        <v>15</v>
      </c>
      <c r="N226" s="22" t="s">
        <v>15</v>
      </c>
    </row>
    <row r="227" spans="1:14" x14ac:dyDescent="0.25">
      <c r="A227" s="21" t="s">
        <v>1295</v>
      </c>
      <c r="B227" s="22" t="s">
        <v>53</v>
      </c>
      <c r="C227" s="22" t="s">
        <v>1248</v>
      </c>
      <c r="D227" s="21" t="s">
        <v>18</v>
      </c>
      <c r="E227" s="21" t="s">
        <v>29</v>
      </c>
      <c r="F227" s="22" t="s">
        <v>1296</v>
      </c>
      <c r="G227" s="22" t="s">
        <v>1255</v>
      </c>
      <c r="H227" s="22" t="s">
        <v>1297</v>
      </c>
      <c r="I227" s="22" t="s">
        <v>1298</v>
      </c>
      <c r="J227" s="22" t="s">
        <v>1299</v>
      </c>
      <c r="K227" s="21" t="s">
        <v>40</v>
      </c>
      <c r="L227" s="22" t="s">
        <v>15</v>
      </c>
      <c r="M227" s="23" t="s">
        <v>15</v>
      </c>
      <c r="N227" s="22" t="s">
        <v>15</v>
      </c>
    </row>
    <row r="228" spans="1:14" x14ac:dyDescent="0.25">
      <c r="A228" s="21" t="s">
        <v>1300</v>
      </c>
      <c r="B228" s="22" t="s">
        <v>53</v>
      </c>
      <c r="C228" s="22" t="s">
        <v>1248</v>
      </c>
      <c r="D228" s="21" t="s">
        <v>24</v>
      </c>
      <c r="E228" s="21" t="s">
        <v>27</v>
      </c>
      <c r="F228" s="22" t="s">
        <v>1301</v>
      </c>
      <c r="G228" s="22" t="s">
        <v>1302</v>
      </c>
      <c r="H228" s="22" t="s">
        <v>1303</v>
      </c>
      <c r="I228" s="22" t="s">
        <v>1304</v>
      </c>
      <c r="J228" s="22" t="s">
        <v>1294</v>
      </c>
      <c r="K228" s="21" t="s">
        <v>40</v>
      </c>
      <c r="L228" s="22" t="s">
        <v>15</v>
      </c>
      <c r="M228" s="23" t="s">
        <v>15</v>
      </c>
      <c r="N228" s="22" t="s">
        <v>15</v>
      </c>
    </row>
    <row r="229" spans="1:14" x14ac:dyDescent="0.25">
      <c r="A229" s="21" t="s">
        <v>1305</v>
      </c>
      <c r="B229" s="22" t="s">
        <v>53</v>
      </c>
      <c r="C229" s="22" t="s">
        <v>1248</v>
      </c>
      <c r="D229" s="21" t="s">
        <v>24</v>
      </c>
      <c r="E229" s="21" t="s">
        <v>29</v>
      </c>
      <c r="F229" s="22" t="s">
        <v>1306</v>
      </c>
      <c r="G229" s="22" t="s">
        <v>1307</v>
      </c>
      <c r="H229" s="22" t="s">
        <v>1190</v>
      </c>
      <c r="I229" s="22" t="s">
        <v>1308</v>
      </c>
      <c r="J229" s="22" t="s">
        <v>1294</v>
      </c>
      <c r="K229" s="21" t="s">
        <v>40</v>
      </c>
      <c r="L229" s="22" t="s">
        <v>15</v>
      </c>
      <c r="M229" s="23" t="s">
        <v>15</v>
      </c>
      <c r="N229" s="22" t="s">
        <v>15</v>
      </c>
    </row>
    <row r="230" spans="1:14" x14ac:dyDescent="0.25">
      <c r="A230" s="21" t="s">
        <v>1309</v>
      </c>
      <c r="B230" s="22" t="s">
        <v>53</v>
      </c>
      <c r="C230" s="22" t="s">
        <v>1248</v>
      </c>
      <c r="D230" s="21" t="s">
        <v>20</v>
      </c>
      <c r="E230" s="21" t="s">
        <v>29</v>
      </c>
      <c r="F230" s="22" t="s">
        <v>1310</v>
      </c>
      <c r="G230" s="22" t="s">
        <v>1311</v>
      </c>
      <c r="H230" s="22" t="s">
        <v>1312</v>
      </c>
      <c r="I230" s="22" t="s">
        <v>1313</v>
      </c>
      <c r="J230" s="22" t="s">
        <v>1314</v>
      </c>
      <c r="K230" s="21" t="s">
        <v>40</v>
      </c>
      <c r="L230" s="22" t="s">
        <v>15</v>
      </c>
      <c r="M230" s="23" t="s">
        <v>15</v>
      </c>
      <c r="N230" s="22" t="s">
        <v>15</v>
      </c>
    </row>
    <row r="231" spans="1:14" x14ac:dyDescent="0.25">
      <c r="A231" s="21" t="s">
        <v>1315</v>
      </c>
      <c r="B231" s="22" t="s">
        <v>53</v>
      </c>
      <c r="C231" s="22" t="s">
        <v>1248</v>
      </c>
      <c r="D231" s="21" t="s">
        <v>20</v>
      </c>
      <c r="E231" s="21" t="s">
        <v>31</v>
      </c>
      <c r="F231" s="22" t="s">
        <v>1316</v>
      </c>
      <c r="G231" s="22" t="s">
        <v>1317</v>
      </c>
      <c r="H231" s="22" t="s">
        <v>1312</v>
      </c>
      <c r="I231" s="22" t="s">
        <v>1318</v>
      </c>
      <c r="J231" s="22" t="s">
        <v>1319</v>
      </c>
      <c r="K231" s="21" t="s">
        <v>40</v>
      </c>
      <c r="L231" s="22" t="s">
        <v>15</v>
      </c>
      <c r="M231" s="23" t="s">
        <v>15</v>
      </c>
      <c r="N231" s="22" t="s">
        <v>15</v>
      </c>
    </row>
    <row r="232" spans="1:14" x14ac:dyDescent="0.25">
      <c r="A232" s="21" t="s">
        <v>1320</v>
      </c>
      <c r="B232" s="22" t="s">
        <v>53</v>
      </c>
      <c r="C232" s="22" t="s">
        <v>1248</v>
      </c>
      <c r="D232" s="21" t="s">
        <v>20</v>
      </c>
      <c r="E232" s="21" t="s">
        <v>31</v>
      </c>
      <c r="F232" s="22" t="s">
        <v>1321</v>
      </c>
      <c r="G232" s="22" t="s">
        <v>1322</v>
      </c>
      <c r="H232" s="22" t="s">
        <v>1323</v>
      </c>
      <c r="I232" s="22" t="s">
        <v>1324</v>
      </c>
      <c r="J232" s="22" t="s">
        <v>1314</v>
      </c>
      <c r="K232" s="21" t="s">
        <v>40</v>
      </c>
      <c r="L232" s="22" t="s">
        <v>15</v>
      </c>
      <c r="M232" s="23" t="s">
        <v>15</v>
      </c>
      <c r="N232" s="22" t="s">
        <v>15</v>
      </c>
    </row>
    <row r="233" spans="1:14" x14ac:dyDescent="0.25">
      <c r="A233" s="21" t="s">
        <v>1325</v>
      </c>
      <c r="B233" s="22" t="s">
        <v>53</v>
      </c>
      <c r="C233" s="22" t="s">
        <v>1326</v>
      </c>
      <c r="D233" s="21" t="s">
        <v>16</v>
      </c>
      <c r="E233" s="21" t="s">
        <v>27</v>
      </c>
      <c r="F233" s="22" t="s">
        <v>1327</v>
      </c>
      <c r="G233" s="22" t="s">
        <v>1328</v>
      </c>
      <c r="H233" s="22" t="s">
        <v>1329</v>
      </c>
      <c r="I233" s="22" t="s">
        <v>1330</v>
      </c>
      <c r="J233" s="22" t="s">
        <v>1331</v>
      </c>
      <c r="K233" s="21" t="s">
        <v>40</v>
      </c>
      <c r="L233" s="22" t="s">
        <v>15</v>
      </c>
      <c r="M233" s="23" t="s">
        <v>15</v>
      </c>
      <c r="N233" s="22" t="s">
        <v>15</v>
      </c>
    </row>
    <row r="234" spans="1:14" x14ac:dyDescent="0.25">
      <c r="A234" s="21" t="s">
        <v>1332</v>
      </c>
      <c r="B234" s="22" t="s">
        <v>53</v>
      </c>
      <c r="C234" s="22" t="s">
        <v>1326</v>
      </c>
      <c r="D234" s="21" t="s">
        <v>16</v>
      </c>
      <c r="E234" s="21" t="s">
        <v>27</v>
      </c>
      <c r="F234" s="22" t="s">
        <v>1333</v>
      </c>
      <c r="G234" s="22" t="s">
        <v>332</v>
      </c>
      <c r="H234" s="22" t="s">
        <v>1334</v>
      </c>
      <c r="I234" s="22" t="s">
        <v>1335</v>
      </c>
      <c r="J234" s="22" t="s">
        <v>1336</v>
      </c>
      <c r="K234" s="21" t="s">
        <v>40</v>
      </c>
      <c r="L234" s="22" t="s">
        <v>15</v>
      </c>
      <c r="M234" s="23" t="s">
        <v>15</v>
      </c>
      <c r="N234" s="22" t="s">
        <v>15</v>
      </c>
    </row>
    <row r="235" spans="1:14" x14ac:dyDescent="0.25">
      <c r="A235" s="21" t="s">
        <v>1337</v>
      </c>
      <c r="B235" s="22" t="s">
        <v>53</v>
      </c>
      <c r="C235" s="22" t="s">
        <v>1326</v>
      </c>
      <c r="D235" s="21" t="s">
        <v>24</v>
      </c>
      <c r="E235" s="21" t="s">
        <v>29</v>
      </c>
      <c r="F235" s="22" t="s">
        <v>1338</v>
      </c>
      <c r="G235" s="22" t="s">
        <v>1333</v>
      </c>
      <c r="H235" s="22" t="s">
        <v>1339</v>
      </c>
      <c r="I235" s="22" t="s">
        <v>1340</v>
      </c>
      <c r="J235" s="22" t="s">
        <v>1341</v>
      </c>
      <c r="K235" s="21" t="s">
        <v>40</v>
      </c>
      <c r="L235" s="22" t="s">
        <v>15</v>
      </c>
      <c r="M235" s="23" t="s">
        <v>15</v>
      </c>
      <c r="N235" s="22" t="s">
        <v>15</v>
      </c>
    </row>
    <row r="236" spans="1:14" x14ac:dyDescent="0.25">
      <c r="A236" s="21" t="s">
        <v>1342</v>
      </c>
      <c r="B236" s="22" t="s">
        <v>53</v>
      </c>
      <c r="C236" s="22" t="s">
        <v>1326</v>
      </c>
      <c r="D236" s="21" t="s">
        <v>18</v>
      </c>
      <c r="E236" s="21" t="s">
        <v>27</v>
      </c>
      <c r="F236" s="22" t="s">
        <v>1343</v>
      </c>
      <c r="G236" s="22" t="s">
        <v>1344</v>
      </c>
      <c r="H236" s="22" t="s">
        <v>1345</v>
      </c>
      <c r="I236" s="22" t="s">
        <v>1346</v>
      </c>
      <c r="J236" s="22" t="s">
        <v>1347</v>
      </c>
      <c r="K236" s="21" t="s">
        <v>40</v>
      </c>
      <c r="L236" s="22" t="s">
        <v>15</v>
      </c>
      <c r="M236" s="23" t="s">
        <v>15</v>
      </c>
      <c r="N236" s="22" t="s">
        <v>15</v>
      </c>
    </row>
    <row r="237" spans="1:14" x14ac:dyDescent="0.25">
      <c r="A237" s="21" t="s">
        <v>1348</v>
      </c>
      <c r="B237" s="22" t="s">
        <v>53</v>
      </c>
      <c r="C237" s="22" t="s">
        <v>1326</v>
      </c>
      <c r="D237" s="21" t="s">
        <v>16</v>
      </c>
      <c r="E237" s="21" t="s">
        <v>27</v>
      </c>
      <c r="F237" s="22" t="s">
        <v>1349</v>
      </c>
      <c r="G237" s="22" t="s">
        <v>1350</v>
      </c>
      <c r="H237" s="22" t="s">
        <v>1351</v>
      </c>
      <c r="I237" s="22" t="s">
        <v>1352</v>
      </c>
      <c r="J237" s="22" t="s">
        <v>1353</v>
      </c>
      <c r="K237" s="21" t="s">
        <v>40</v>
      </c>
      <c r="L237" s="22" t="s">
        <v>15</v>
      </c>
      <c r="M237" s="23" t="s">
        <v>15</v>
      </c>
      <c r="N237" s="22" t="s">
        <v>15</v>
      </c>
    </row>
    <row r="238" spans="1:14" x14ac:dyDescent="0.25">
      <c r="A238" s="21" t="s">
        <v>1354</v>
      </c>
      <c r="B238" s="22" t="s">
        <v>53</v>
      </c>
      <c r="C238" s="22" t="s">
        <v>1326</v>
      </c>
      <c r="D238" s="21" t="s">
        <v>20</v>
      </c>
      <c r="E238" s="21" t="s">
        <v>29</v>
      </c>
      <c r="F238" s="22" t="s">
        <v>1355</v>
      </c>
      <c r="G238" s="22" t="s">
        <v>1356</v>
      </c>
      <c r="H238" s="22" t="s">
        <v>1345</v>
      </c>
      <c r="I238" s="22" t="s">
        <v>1357</v>
      </c>
      <c r="J238" s="22" t="s">
        <v>1358</v>
      </c>
      <c r="K238" s="21" t="s">
        <v>40</v>
      </c>
      <c r="L238" s="22" t="s">
        <v>15</v>
      </c>
      <c r="M238" s="23" t="s">
        <v>15</v>
      </c>
      <c r="N238" s="22" t="s">
        <v>15</v>
      </c>
    </row>
    <row r="239" spans="1:14" x14ac:dyDescent="0.25">
      <c r="A239" s="21" t="s">
        <v>1359</v>
      </c>
      <c r="B239" s="22" t="s">
        <v>53</v>
      </c>
      <c r="C239" s="22" t="s">
        <v>1326</v>
      </c>
      <c r="D239" s="21" t="s">
        <v>18</v>
      </c>
      <c r="E239" s="21" t="s">
        <v>27</v>
      </c>
      <c r="F239" s="22" t="s">
        <v>1360</v>
      </c>
      <c r="G239" s="22" t="s">
        <v>1361</v>
      </c>
      <c r="H239" s="22" t="s">
        <v>1362</v>
      </c>
      <c r="I239" s="22" t="s">
        <v>1363</v>
      </c>
      <c r="J239" s="22" t="s">
        <v>1364</v>
      </c>
      <c r="K239" s="21" t="s">
        <v>40</v>
      </c>
      <c r="L239" s="22" t="s">
        <v>15</v>
      </c>
      <c r="M239" s="23" t="s">
        <v>15</v>
      </c>
      <c r="N239" s="22" t="s">
        <v>15</v>
      </c>
    </row>
    <row r="240" spans="1:14" x14ac:dyDescent="0.25">
      <c r="A240" s="21" t="s">
        <v>1365</v>
      </c>
      <c r="B240" s="22" t="s">
        <v>53</v>
      </c>
      <c r="C240" s="22" t="s">
        <v>1326</v>
      </c>
      <c r="D240" s="21" t="s">
        <v>16</v>
      </c>
      <c r="E240" s="21" t="s">
        <v>29</v>
      </c>
      <c r="F240" s="22" t="s">
        <v>1366</v>
      </c>
      <c r="G240" s="22" t="s">
        <v>332</v>
      </c>
      <c r="H240" s="22" t="s">
        <v>1367</v>
      </c>
      <c r="I240" s="22" t="s">
        <v>1368</v>
      </c>
      <c r="J240" s="22" t="s">
        <v>1139</v>
      </c>
      <c r="K240" s="21" t="s">
        <v>40</v>
      </c>
      <c r="L240" s="22" t="s">
        <v>15</v>
      </c>
      <c r="M240" s="23" t="s">
        <v>15</v>
      </c>
      <c r="N240" s="22" t="s">
        <v>15</v>
      </c>
    </row>
    <row r="241" spans="1:14" x14ac:dyDescent="0.25">
      <c r="A241" s="21" t="s">
        <v>1369</v>
      </c>
      <c r="B241" s="22" t="s">
        <v>53</v>
      </c>
      <c r="C241" s="22" t="s">
        <v>1370</v>
      </c>
      <c r="D241" s="21" t="s">
        <v>16</v>
      </c>
      <c r="E241" s="21" t="s">
        <v>27</v>
      </c>
      <c r="F241" s="22" t="s">
        <v>1371</v>
      </c>
      <c r="G241" s="22" t="s">
        <v>1372</v>
      </c>
      <c r="H241" s="22" t="s">
        <v>1373</v>
      </c>
      <c r="I241" s="22" t="s">
        <v>1374</v>
      </c>
      <c r="J241" s="22" t="s">
        <v>1375</v>
      </c>
      <c r="K241" s="21" t="s">
        <v>40</v>
      </c>
      <c r="L241" s="22" t="s">
        <v>15</v>
      </c>
      <c r="M241" s="23" t="s">
        <v>15</v>
      </c>
      <c r="N241" s="22" t="s">
        <v>15</v>
      </c>
    </row>
    <row r="242" spans="1:14" x14ac:dyDescent="0.25">
      <c r="A242" s="21" t="s">
        <v>1376</v>
      </c>
      <c r="B242" s="22" t="s">
        <v>53</v>
      </c>
      <c r="C242" s="22" t="s">
        <v>1370</v>
      </c>
      <c r="D242" s="21" t="s">
        <v>16</v>
      </c>
      <c r="E242" s="21" t="s">
        <v>27</v>
      </c>
      <c r="F242" s="22" t="s">
        <v>1377</v>
      </c>
      <c r="G242" s="22" t="s">
        <v>1378</v>
      </c>
      <c r="H242" s="22" t="s">
        <v>1379</v>
      </c>
      <c r="I242" s="22" t="s">
        <v>1380</v>
      </c>
      <c r="J242" s="22" t="s">
        <v>1381</v>
      </c>
      <c r="K242" s="21" t="s">
        <v>40</v>
      </c>
      <c r="L242" s="22" t="s">
        <v>15</v>
      </c>
      <c r="M242" s="23" t="s">
        <v>15</v>
      </c>
      <c r="N242" s="22" t="s">
        <v>15</v>
      </c>
    </row>
    <row r="243" spans="1:14" x14ac:dyDescent="0.25">
      <c r="A243" s="21" t="s">
        <v>1382</v>
      </c>
      <c r="B243" s="22" t="s">
        <v>53</v>
      </c>
      <c r="C243" s="22" t="s">
        <v>1370</v>
      </c>
      <c r="D243" s="21" t="s">
        <v>18</v>
      </c>
      <c r="E243" s="21" t="s">
        <v>27</v>
      </c>
      <c r="F243" s="22" t="s">
        <v>1383</v>
      </c>
      <c r="G243" s="22" t="s">
        <v>1384</v>
      </c>
      <c r="H243" s="22" t="s">
        <v>1385</v>
      </c>
      <c r="I243" s="22" t="s">
        <v>1386</v>
      </c>
      <c r="J243" s="22" t="s">
        <v>1387</v>
      </c>
      <c r="K243" s="21" t="s">
        <v>40</v>
      </c>
      <c r="L243" s="22" t="s">
        <v>15</v>
      </c>
      <c r="M243" s="23" t="s">
        <v>15</v>
      </c>
      <c r="N243" s="22" t="s">
        <v>15</v>
      </c>
    </row>
    <row r="244" spans="1:14" x14ac:dyDescent="0.25">
      <c r="A244" s="21" t="s">
        <v>1388</v>
      </c>
      <c r="B244" s="22" t="s">
        <v>53</v>
      </c>
      <c r="C244" s="22" t="s">
        <v>1370</v>
      </c>
      <c r="D244" s="21" t="s">
        <v>18</v>
      </c>
      <c r="E244" s="21" t="s">
        <v>29</v>
      </c>
      <c r="F244" s="22" t="s">
        <v>1389</v>
      </c>
      <c r="G244" s="22" t="s">
        <v>1390</v>
      </c>
      <c r="H244" s="22" t="s">
        <v>1391</v>
      </c>
      <c r="I244" s="22" t="s">
        <v>1392</v>
      </c>
      <c r="J244" s="22" t="s">
        <v>1393</v>
      </c>
      <c r="K244" s="21" t="s">
        <v>40</v>
      </c>
      <c r="L244" s="22" t="s">
        <v>15</v>
      </c>
      <c r="M244" s="23" t="s">
        <v>15</v>
      </c>
      <c r="N244" s="22" t="s">
        <v>15</v>
      </c>
    </row>
    <row r="245" spans="1:14" x14ac:dyDescent="0.25">
      <c r="A245" s="21" t="s">
        <v>1394</v>
      </c>
      <c r="B245" s="22" t="s">
        <v>53</v>
      </c>
      <c r="C245" s="22" t="s">
        <v>1370</v>
      </c>
      <c r="D245" s="21" t="s">
        <v>18</v>
      </c>
      <c r="E245" s="21" t="s">
        <v>29</v>
      </c>
      <c r="F245" s="22" t="s">
        <v>1395</v>
      </c>
      <c r="G245" s="22" t="s">
        <v>1372</v>
      </c>
      <c r="H245" s="22" t="s">
        <v>1396</v>
      </c>
      <c r="I245" s="22" t="s">
        <v>1397</v>
      </c>
      <c r="J245" s="22" t="s">
        <v>1398</v>
      </c>
      <c r="K245" s="21" t="s">
        <v>40</v>
      </c>
      <c r="L245" s="22" t="s">
        <v>15</v>
      </c>
      <c r="M245" s="23" t="s">
        <v>15</v>
      </c>
      <c r="N245" s="22" t="s">
        <v>15</v>
      </c>
    </row>
    <row r="246" spans="1:14" x14ac:dyDescent="0.25">
      <c r="A246" s="21" t="s">
        <v>1399</v>
      </c>
      <c r="B246" s="22" t="s">
        <v>53</v>
      </c>
      <c r="C246" s="22" t="s">
        <v>1370</v>
      </c>
      <c r="D246" s="21" t="s">
        <v>24</v>
      </c>
      <c r="E246" s="21" t="s">
        <v>27</v>
      </c>
      <c r="F246" s="22" t="s">
        <v>1400</v>
      </c>
      <c r="G246" s="22" t="s">
        <v>1401</v>
      </c>
      <c r="H246" s="22" t="s">
        <v>1402</v>
      </c>
      <c r="I246" s="22" t="s">
        <v>1403</v>
      </c>
      <c r="J246" s="22" t="s">
        <v>1404</v>
      </c>
      <c r="K246" s="21" t="s">
        <v>40</v>
      </c>
      <c r="L246" s="22" t="s">
        <v>15</v>
      </c>
      <c r="M246" s="23" t="s">
        <v>15</v>
      </c>
      <c r="N246" s="22" t="s">
        <v>15</v>
      </c>
    </row>
    <row r="247" spans="1:14" x14ac:dyDescent="0.25">
      <c r="A247" s="21" t="s">
        <v>1405</v>
      </c>
      <c r="B247" s="22" t="s">
        <v>53</v>
      </c>
      <c r="C247" s="22" t="s">
        <v>1370</v>
      </c>
      <c r="D247" s="21" t="s">
        <v>16</v>
      </c>
      <c r="E247" s="21" t="s">
        <v>29</v>
      </c>
      <c r="F247" s="22" t="s">
        <v>1406</v>
      </c>
      <c r="G247" s="22" t="s">
        <v>1407</v>
      </c>
      <c r="H247" s="22" t="s">
        <v>1408</v>
      </c>
      <c r="I247" s="22" t="s">
        <v>1409</v>
      </c>
      <c r="J247" s="22" t="s">
        <v>1410</v>
      </c>
      <c r="K247" s="21" t="s">
        <v>40</v>
      </c>
      <c r="L247" s="22" t="s">
        <v>15</v>
      </c>
      <c r="M247" s="23" t="s">
        <v>15</v>
      </c>
      <c r="N247" s="22" t="s">
        <v>15</v>
      </c>
    </row>
    <row r="248" spans="1:14" x14ac:dyDescent="0.25">
      <c r="A248" s="21" t="s">
        <v>1411</v>
      </c>
      <c r="B248" s="22" t="s">
        <v>53</v>
      </c>
      <c r="C248" s="22" t="s">
        <v>1370</v>
      </c>
      <c r="D248" s="21" t="s">
        <v>24</v>
      </c>
      <c r="E248" s="21" t="s">
        <v>27</v>
      </c>
      <c r="F248" s="22" t="s">
        <v>1412</v>
      </c>
      <c r="G248" s="22" t="s">
        <v>1413</v>
      </c>
      <c r="H248" s="22" t="s">
        <v>1414</v>
      </c>
      <c r="I248" s="22" t="s">
        <v>1415</v>
      </c>
      <c r="J248" s="22" t="s">
        <v>1416</v>
      </c>
      <c r="K248" s="21" t="s">
        <v>40</v>
      </c>
      <c r="L248" s="22" t="s">
        <v>15</v>
      </c>
      <c r="M248" s="23" t="s">
        <v>15</v>
      </c>
      <c r="N248" s="22" t="s">
        <v>15</v>
      </c>
    </row>
    <row r="249" spans="1:14" x14ac:dyDescent="0.25">
      <c r="A249" s="21" t="s">
        <v>1417</v>
      </c>
      <c r="B249" s="22" t="s">
        <v>53</v>
      </c>
      <c r="C249" s="22" t="s">
        <v>1370</v>
      </c>
      <c r="D249" s="21" t="s">
        <v>22</v>
      </c>
      <c r="E249" s="21" t="s">
        <v>29</v>
      </c>
      <c r="F249" s="22" t="s">
        <v>1418</v>
      </c>
      <c r="G249" s="22" t="s">
        <v>1419</v>
      </c>
      <c r="H249" s="22" t="s">
        <v>1420</v>
      </c>
      <c r="I249" s="22" t="s">
        <v>1421</v>
      </c>
      <c r="J249" s="22" t="s">
        <v>1422</v>
      </c>
      <c r="K249" s="21" t="s">
        <v>40</v>
      </c>
      <c r="L249" s="22" t="s">
        <v>15</v>
      </c>
      <c r="M249" s="23" t="s">
        <v>15</v>
      </c>
      <c r="N249" s="22" t="s">
        <v>15</v>
      </c>
    </row>
    <row r="250" spans="1:14" x14ac:dyDescent="0.25">
      <c r="A250" s="21" t="s">
        <v>1423</v>
      </c>
      <c r="B250" s="22" t="s">
        <v>54</v>
      </c>
      <c r="C250" s="22" t="s">
        <v>121</v>
      </c>
      <c r="D250" s="21" t="s">
        <v>16</v>
      </c>
      <c r="E250" s="21" t="s">
        <v>27</v>
      </c>
      <c r="F250" s="22" t="s">
        <v>1424</v>
      </c>
      <c r="G250" s="22" t="s">
        <v>93</v>
      </c>
      <c r="H250" s="22" t="s">
        <v>1425</v>
      </c>
      <c r="I250" s="22" t="s">
        <v>1426</v>
      </c>
      <c r="J250" s="22" t="s">
        <v>1427</v>
      </c>
      <c r="K250" s="21" t="s">
        <v>40</v>
      </c>
      <c r="L250" s="22" t="s">
        <v>15</v>
      </c>
      <c r="M250" s="23" t="s">
        <v>15</v>
      </c>
      <c r="N250" s="22" t="s">
        <v>15</v>
      </c>
    </row>
    <row r="251" spans="1:14" x14ac:dyDescent="0.25">
      <c r="A251" s="21" t="s">
        <v>1428</v>
      </c>
      <c r="B251" s="22" t="s">
        <v>54</v>
      </c>
      <c r="C251" s="22" t="s">
        <v>121</v>
      </c>
      <c r="D251" s="21" t="s">
        <v>16</v>
      </c>
      <c r="E251" s="21" t="s">
        <v>27</v>
      </c>
      <c r="F251" s="22" t="s">
        <v>583</v>
      </c>
      <c r="G251" s="22" t="s">
        <v>93</v>
      </c>
      <c r="H251" s="22" t="s">
        <v>1429</v>
      </c>
      <c r="I251" s="22" t="s">
        <v>1430</v>
      </c>
      <c r="J251" s="22" t="s">
        <v>1431</v>
      </c>
      <c r="K251" s="21" t="s">
        <v>40</v>
      </c>
      <c r="L251" s="22" t="s">
        <v>15</v>
      </c>
      <c r="M251" s="23" t="s">
        <v>15</v>
      </c>
      <c r="N251" s="22" t="s">
        <v>15</v>
      </c>
    </row>
    <row r="252" spans="1:14" x14ac:dyDescent="0.25">
      <c r="A252" s="21" t="s">
        <v>1432</v>
      </c>
      <c r="B252" s="22" t="s">
        <v>54</v>
      </c>
      <c r="C252" s="22" t="s">
        <v>1433</v>
      </c>
      <c r="D252" s="21" t="s">
        <v>16</v>
      </c>
      <c r="E252" s="21" t="s">
        <v>27</v>
      </c>
      <c r="F252" s="22" t="s">
        <v>1434</v>
      </c>
      <c r="G252" s="22" t="s">
        <v>332</v>
      </c>
      <c r="H252" s="22" t="s">
        <v>1435</v>
      </c>
      <c r="I252" s="22" t="s">
        <v>1436</v>
      </c>
      <c r="J252" s="22" t="s">
        <v>1437</v>
      </c>
      <c r="K252" s="21" t="s">
        <v>40</v>
      </c>
      <c r="L252" s="22" t="s">
        <v>15</v>
      </c>
      <c r="M252" s="23" t="s">
        <v>15</v>
      </c>
      <c r="N252" s="22" t="s">
        <v>15</v>
      </c>
    </row>
    <row r="253" spans="1:14" x14ac:dyDescent="0.25">
      <c r="A253" s="21" t="s">
        <v>1438</v>
      </c>
      <c r="B253" s="22" t="s">
        <v>54</v>
      </c>
      <c r="C253" s="22" t="s">
        <v>1433</v>
      </c>
      <c r="D253" s="21" t="s">
        <v>18</v>
      </c>
      <c r="E253" s="21" t="s">
        <v>29</v>
      </c>
      <c r="F253" s="22" t="s">
        <v>1439</v>
      </c>
      <c r="G253" s="22" t="s">
        <v>1440</v>
      </c>
      <c r="H253" s="22" t="s">
        <v>1425</v>
      </c>
      <c r="I253" s="22" t="s">
        <v>1441</v>
      </c>
      <c r="J253" s="22" t="s">
        <v>1442</v>
      </c>
      <c r="K253" s="21" t="s">
        <v>40</v>
      </c>
      <c r="L253" s="22" t="s">
        <v>15</v>
      </c>
      <c r="M253" s="23" t="s">
        <v>15</v>
      </c>
      <c r="N253" s="22" t="s">
        <v>15</v>
      </c>
    </row>
    <row r="254" spans="1:14" x14ac:dyDescent="0.25">
      <c r="A254" s="21" t="s">
        <v>1443</v>
      </c>
      <c r="B254" s="22" t="s">
        <v>54</v>
      </c>
      <c r="C254" s="22" t="s">
        <v>1433</v>
      </c>
      <c r="D254" s="21" t="s">
        <v>16</v>
      </c>
      <c r="E254" s="21" t="s">
        <v>29</v>
      </c>
      <c r="F254" s="22" t="s">
        <v>1444</v>
      </c>
      <c r="G254" s="22" t="s">
        <v>332</v>
      </c>
      <c r="H254" s="22" t="s">
        <v>424</v>
      </c>
      <c r="I254" s="22" t="s">
        <v>595</v>
      </c>
      <c r="J254" s="22" t="s">
        <v>1445</v>
      </c>
      <c r="K254" s="21" t="s">
        <v>40</v>
      </c>
      <c r="L254" s="22" t="s">
        <v>15</v>
      </c>
      <c r="M254" s="23" t="s">
        <v>15</v>
      </c>
      <c r="N254" s="22" t="s">
        <v>15</v>
      </c>
    </row>
    <row r="255" spans="1:14" x14ac:dyDescent="0.25">
      <c r="A255" s="21" t="s">
        <v>1446</v>
      </c>
      <c r="B255" s="22" t="s">
        <v>54</v>
      </c>
      <c r="C255" s="22" t="s">
        <v>1447</v>
      </c>
      <c r="D255" s="21" t="s">
        <v>16</v>
      </c>
      <c r="E255" s="21" t="s">
        <v>27</v>
      </c>
      <c r="F255" s="22" t="s">
        <v>1448</v>
      </c>
      <c r="G255" s="22" t="s">
        <v>1449</v>
      </c>
      <c r="H255" s="22" t="s">
        <v>1450</v>
      </c>
      <c r="I255" s="22" t="s">
        <v>1451</v>
      </c>
      <c r="J255" s="22" t="s">
        <v>1452</v>
      </c>
      <c r="K255" s="21" t="s">
        <v>40</v>
      </c>
      <c r="L255" s="22" t="s">
        <v>15</v>
      </c>
      <c r="M255" s="23" t="s">
        <v>15</v>
      </c>
      <c r="N255" s="22" t="s">
        <v>15</v>
      </c>
    </row>
    <row r="256" spans="1:14" x14ac:dyDescent="0.25">
      <c r="A256" s="21" t="s">
        <v>1453</v>
      </c>
      <c r="B256" s="22" t="s">
        <v>54</v>
      </c>
      <c r="C256" s="22" t="s">
        <v>1447</v>
      </c>
      <c r="D256" s="21" t="s">
        <v>18</v>
      </c>
      <c r="E256" s="21" t="s">
        <v>27</v>
      </c>
      <c r="F256" s="22" t="s">
        <v>1454</v>
      </c>
      <c r="G256" s="22" t="s">
        <v>1455</v>
      </c>
      <c r="H256" s="22" t="s">
        <v>1456</v>
      </c>
      <c r="I256" s="22" t="s">
        <v>1457</v>
      </c>
      <c r="J256" s="22" t="s">
        <v>1458</v>
      </c>
      <c r="K256" s="21" t="s">
        <v>40</v>
      </c>
      <c r="L256" s="22" t="s">
        <v>15</v>
      </c>
      <c r="M256" s="23" t="s">
        <v>15</v>
      </c>
      <c r="N256" s="22" t="s">
        <v>15</v>
      </c>
    </row>
    <row r="257" spans="1:14" x14ac:dyDescent="0.25">
      <c r="A257" s="21" t="s">
        <v>1459</v>
      </c>
      <c r="B257" s="22" t="s">
        <v>54</v>
      </c>
      <c r="C257" s="22" t="s">
        <v>1447</v>
      </c>
      <c r="D257" s="21" t="s">
        <v>16</v>
      </c>
      <c r="E257" s="21" t="s">
        <v>27</v>
      </c>
      <c r="F257" s="22" t="s">
        <v>1460</v>
      </c>
      <c r="G257" s="22" t="s">
        <v>1461</v>
      </c>
      <c r="H257" s="22" t="s">
        <v>1462</v>
      </c>
      <c r="I257" s="22" t="s">
        <v>1463</v>
      </c>
      <c r="J257" s="22" t="s">
        <v>1464</v>
      </c>
      <c r="K257" s="21" t="s">
        <v>40</v>
      </c>
      <c r="L257" s="22" t="s">
        <v>15</v>
      </c>
      <c r="M257" s="23" t="s">
        <v>15</v>
      </c>
      <c r="N257" s="22" t="s">
        <v>15</v>
      </c>
    </row>
    <row r="258" spans="1:14" x14ac:dyDescent="0.25">
      <c r="A258" s="21" t="s">
        <v>1465</v>
      </c>
      <c r="B258" s="22" t="s">
        <v>54</v>
      </c>
      <c r="C258" s="22" t="s">
        <v>1447</v>
      </c>
      <c r="D258" s="21" t="s">
        <v>18</v>
      </c>
      <c r="E258" s="21" t="s">
        <v>27</v>
      </c>
      <c r="F258" s="22" t="s">
        <v>1466</v>
      </c>
      <c r="G258" s="22" t="s">
        <v>387</v>
      </c>
      <c r="H258" s="22" t="s">
        <v>1462</v>
      </c>
      <c r="I258" s="22" t="s">
        <v>1457</v>
      </c>
      <c r="J258" s="22" t="s">
        <v>1464</v>
      </c>
      <c r="K258" s="21" t="s">
        <v>40</v>
      </c>
      <c r="L258" s="22" t="s">
        <v>15</v>
      </c>
      <c r="M258" s="23" t="s">
        <v>15</v>
      </c>
      <c r="N258" s="22" t="s">
        <v>15</v>
      </c>
    </row>
    <row r="259" spans="1:14" x14ac:dyDescent="0.25">
      <c r="A259" s="21" t="s">
        <v>1467</v>
      </c>
      <c r="B259" s="22" t="s">
        <v>54</v>
      </c>
      <c r="C259" s="22" t="s">
        <v>1447</v>
      </c>
      <c r="D259" s="21" t="s">
        <v>16</v>
      </c>
      <c r="E259" s="21" t="s">
        <v>29</v>
      </c>
      <c r="F259" s="22" t="s">
        <v>1468</v>
      </c>
      <c r="G259" s="22" t="s">
        <v>332</v>
      </c>
      <c r="H259" s="22" t="s">
        <v>1469</v>
      </c>
      <c r="I259" s="22" t="s">
        <v>1470</v>
      </c>
      <c r="J259" s="22" t="s">
        <v>1471</v>
      </c>
      <c r="K259" s="21" t="s">
        <v>40</v>
      </c>
      <c r="L259" s="22" t="s">
        <v>15</v>
      </c>
      <c r="M259" s="23" t="s">
        <v>15</v>
      </c>
      <c r="N259" s="22" t="s">
        <v>15</v>
      </c>
    </row>
    <row r="260" spans="1:14" x14ac:dyDescent="0.25">
      <c r="A260" s="21" t="s">
        <v>1472</v>
      </c>
      <c r="B260" s="22" t="s">
        <v>54</v>
      </c>
      <c r="C260" s="22" t="s">
        <v>364</v>
      </c>
      <c r="D260" s="21" t="s">
        <v>16</v>
      </c>
      <c r="E260" s="21" t="s">
        <v>31</v>
      </c>
      <c r="F260" s="22" t="s">
        <v>1473</v>
      </c>
      <c r="G260" s="22" t="s">
        <v>332</v>
      </c>
      <c r="H260" s="22" t="s">
        <v>1474</v>
      </c>
      <c r="I260" s="22" t="s">
        <v>1475</v>
      </c>
      <c r="J260" s="22" t="s">
        <v>1476</v>
      </c>
      <c r="K260" s="21" t="s">
        <v>40</v>
      </c>
      <c r="L260" s="22" t="s">
        <v>15</v>
      </c>
      <c r="M260" s="23" t="s">
        <v>15</v>
      </c>
      <c r="N260" s="22" t="s">
        <v>15</v>
      </c>
    </row>
    <row r="261" spans="1:14" x14ac:dyDescent="0.25">
      <c r="A261" s="21" t="s">
        <v>1477</v>
      </c>
      <c r="B261" s="22" t="s">
        <v>55</v>
      </c>
      <c r="C261" s="22" t="s">
        <v>1478</v>
      </c>
      <c r="D261" s="21" t="s">
        <v>16</v>
      </c>
      <c r="E261" s="21" t="s">
        <v>29</v>
      </c>
      <c r="F261" s="22" t="s">
        <v>1479</v>
      </c>
      <c r="G261" s="22" t="s">
        <v>99</v>
      </c>
      <c r="H261" s="22" t="s">
        <v>1480</v>
      </c>
      <c r="I261" s="22" t="s">
        <v>1481</v>
      </c>
      <c r="J261" s="22" t="s">
        <v>1482</v>
      </c>
      <c r="K261" s="21" t="s">
        <v>40</v>
      </c>
      <c r="L261" s="22" t="s">
        <v>15</v>
      </c>
      <c r="M261" s="23" t="s">
        <v>15</v>
      </c>
      <c r="N261" s="22" t="s">
        <v>15</v>
      </c>
    </row>
    <row r="262" spans="1:14" x14ac:dyDescent="0.25">
      <c r="A262" s="21" t="s">
        <v>1483</v>
      </c>
      <c r="B262" s="22" t="s">
        <v>55</v>
      </c>
      <c r="C262" s="22" t="s">
        <v>1478</v>
      </c>
      <c r="D262" s="21" t="s">
        <v>16</v>
      </c>
      <c r="E262" s="21" t="s">
        <v>31</v>
      </c>
      <c r="F262" s="22" t="s">
        <v>1484</v>
      </c>
      <c r="G262" s="22" t="s">
        <v>332</v>
      </c>
      <c r="H262" s="22" t="s">
        <v>1485</v>
      </c>
      <c r="I262" s="22" t="s">
        <v>1486</v>
      </c>
      <c r="J262" s="22" t="s">
        <v>1482</v>
      </c>
      <c r="K262" s="21" t="s">
        <v>40</v>
      </c>
      <c r="L262" s="22" t="s">
        <v>15</v>
      </c>
      <c r="M262" s="23" t="s">
        <v>15</v>
      </c>
      <c r="N262" s="22" t="s">
        <v>15</v>
      </c>
    </row>
    <row r="263" spans="1:14" x14ac:dyDescent="0.25">
      <c r="A263" s="21" t="s">
        <v>1487</v>
      </c>
      <c r="B263" s="22" t="s">
        <v>55</v>
      </c>
      <c r="C263" s="22" t="s">
        <v>1488</v>
      </c>
      <c r="D263" s="21" t="s">
        <v>18</v>
      </c>
      <c r="E263" s="21" t="s">
        <v>29</v>
      </c>
      <c r="F263" s="22" t="s">
        <v>1489</v>
      </c>
      <c r="G263" s="22" t="s">
        <v>1490</v>
      </c>
      <c r="H263" s="22" t="s">
        <v>123</v>
      </c>
      <c r="I263" s="22" t="s">
        <v>1491</v>
      </c>
      <c r="J263" s="22" t="s">
        <v>1492</v>
      </c>
      <c r="K263" s="21" t="s">
        <v>40</v>
      </c>
      <c r="L263" s="22" t="s">
        <v>15</v>
      </c>
      <c r="M263" s="23" t="s">
        <v>15</v>
      </c>
      <c r="N263" s="22" t="s">
        <v>15</v>
      </c>
    </row>
    <row r="264" spans="1:14" x14ac:dyDescent="0.25">
      <c r="A264" s="21" t="s">
        <v>1493</v>
      </c>
      <c r="B264" s="22" t="s">
        <v>55</v>
      </c>
      <c r="C264" s="22" t="s">
        <v>407</v>
      </c>
      <c r="D264" s="21" t="s">
        <v>24</v>
      </c>
      <c r="E264" s="21" t="s">
        <v>29</v>
      </c>
      <c r="F264" s="22" t="s">
        <v>1494</v>
      </c>
      <c r="G264" s="22" t="s">
        <v>332</v>
      </c>
      <c r="H264" s="22" t="s">
        <v>1495</v>
      </c>
      <c r="I264" s="22" t="s">
        <v>1496</v>
      </c>
      <c r="J264" s="22" t="s">
        <v>1497</v>
      </c>
      <c r="K264" s="21" t="s">
        <v>40</v>
      </c>
      <c r="L264" s="22" t="s">
        <v>15</v>
      </c>
      <c r="M264" s="23" t="s">
        <v>15</v>
      </c>
      <c r="N264" s="22" t="s">
        <v>15</v>
      </c>
    </row>
    <row r="265" spans="1:14" x14ac:dyDescent="0.25">
      <c r="A265" s="21" t="s">
        <v>1498</v>
      </c>
      <c r="B265" s="22" t="s">
        <v>55</v>
      </c>
      <c r="C265" s="22" t="s">
        <v>1499</v>
      </c>
      <c r="D265" s="21" t="s">
        <v>16</v>
      </c>
      <c r="E265" s="21" t="s">
        <v>31</v>
      </c>
      <c r="F265" s="22" t="s">
        <v>1500</v>
      </c>
      <c r="G265" s="22" t="s">
        <v>99</v>
      </c>
      <c r="H265" s="22" t="s">
        <v>1501</v>
      </c>
      <c r="I265" s="22" t="s">
        <v>1502</v>
      </c>
      <c r="J265" s="22" t="s">
        <v>1503</v>
      </c>
      <c r="K265" s="21" t="s">
        <v>40</v>
      </c>
      <c r="L265" s="22" t="s">
        <v>15</v>
      </c>
      <c r="M265" s="23" t="s">
        <v>15</v>
      </c>
      <c r="N265" s="22" t="s">
        <v>15</v>
      </c>
    </row>
    <row r="266" spans="1:14" x14ac:dyDescent="0.25">
      <c r="A266" s="21" t="s">
        <v>1504</v>
      </c>
      <c r="B266" s="22" t="s">
        <v>55</v>
      </c>
      <c r="C266" s="22" t="s">
        <v>1505</v>
      </c>
      <c r="D266" s="21" t="s">
        <v>24</v>
      </c>
      <c r="E266" s="21" t="s">
        <v>27</v>
      </c>
      <c r="F266" s="22" t="s">
        <v>1506</v>
      </c>
      <c r="G266" s="22" t="s">
        <v>1507</v>
      </c>
      <c r="H266" s="22" t="s">
        <v>1508</v>
      </c>
      <c r="I266" s="22" t="s">
        <v>1509</v>
      </c>
      <c r="J266" s="22" t="s">
        <v>1510</v>
      </c>
      <c r="K266" s="21" t="s">
        <v>40</v>
      </c>
      <c r="L266" s="22" t="s">
        <v>15</v>
      </c>
      <c r="M266" s="23" t="s">
        <v>15</v>
      </c>
      <c r="N266" s="22" t="s">
        <v>15</v>
      </c>
    </row>
    <row r="267" spans="1:14" x14ac:dyDescent="0.25">
      <c r="A267" s="21" t="s">
        <v>1511</v>
      </c>
      <c r="B267" s="22" t="s">
        <v>55</v>
      </c>
      <c r="C267" s="22" t="s">
        <v>1505</v>
      </c>
      <c r="D267" s="21" t="s">
        <v>24</v>
      </c>
      <c r="E267" s="21" t="s">
        <v>29</v>
      </c>
      <c r="F267" s="22" t="s">
        <v>1512</v>
      </c>
      <c r="G267" s="22" t="s">
        <v>1513</v>
      </c>
      <c r="H267" s="22" t="s">
        <v>1514</v>
      </c>
      <c r="I267" s="22" t="s">
        <v>1515</v>
      </c>
      <c r="J267" s="22" t="s">
        <v>1353</v>
      </c>
      <c r="K267" s="21" t="s">
        <v>40</v>
      </c>
      <c r="L267" s="22" t="s">
        <v>15</v>
      </c>
      <c r="M267" s="23" t="s">
        <v>15</v>
      </c>
      <c r="N267" s="22" t="s">
        <v>15</v>
      </c>
    </row>
    <row r="268" spans="1:14" x14ac:dyDescent="0.25">
      <c r="A268" s="21" t="s">
        <v>1516</v>
      </c>
      <c r="B268" s="22" t="s">
        <v>55</v>
      </c>
      <c r="C268" s="22" t="s">
        <v>1505</v>
      </c>
      <c r="D268" s="21" t="s">
        <v>24</v>
      </c>
      <c r="E268" s="21" t="s">
        <v>29</v>
      </c>
      <c r="F268" s="22" t="s">
        <v>1517</v>
      </c>
      <c r="G268" s="22" t="s">
        <v>1518</v>
      </c>
      <c r="H268" s="22" t="s">
        <v>1519</v>
      </c>
      <c r="I268" s="22" t="s">
        <v>1520</v>
      </c>
      <c r="J268" s="22" t="s">
        <v>1521</v>
      </c>
      <c r="K268" s="21" t="s">
        <v>40</v>
      </c>
      <c r="L268" s="22" t="s">
        <v>15</v>
      </c>
      <c r="M268" s="23" t="s">
        <v>15</v>
      </c>
      <c r="N268" s="22" t="s">
        <v>15</v>
      </c>
    </row>
  </sheetData>
  <autoFilter ref="A1:N268"/>
  <conditionalFormatting sqref="K2:K268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"Block"</formula>
    </cfRule>
    <cfRule type="cellIs" dxfId="3" priority="4" operator="equal">
      <formula>"N/A"</formula>
    </cfRule>
  </conditionalFormatting>
  <conditionalFormatting sqref="E2:E268">
    <cfRule type="cellIs" dxfId="4" priority="5" operator="equal">
      <formula>"P1"</formula>
    </cfRule>
  </conditionalFormatting>
  <dataValidations count="2">
    <dataValidation type="list" allowBlank="1" showErrorMessage="1" errorTitle="결과 값" error="목록에서 선택해 주세요." sqref="K10:K268">
      <formula1>"미수행,Pass,Fail,Block,N/A"</formula1>
    </dataValidation>
    <dataValidation type="list" allowBlank="1" showErrorMessage="1" errorTitle="결과 값" error="목록에서 선택해 주세요." sqref="K2:K268">
      <formula1>"미수행,Pass,Fail,Block,N/A"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90" customWidth="1"/>
    <col min="5" max="5" width="18" customWidth="1"/>
  </cols>
  <sheetData>
    <row r="1" ht="28" customHeight="1" spans="1:5" x14ac:dyDescent="0.25">
      <c r="A1" s="9" t="s">
        <v>1522</v>
      </c>
      <c r="B1" s="9" t="s">
        <v>1523</v>
      </c>
      <c r="C1" s="9" t="s">
        <v>1524</v>
      </c>
      <c r="D1" s="9" t="s">
        <v>1525</v>
      </c>
      <c r="E1" s="9" t="s">
        <v>1526</v>
      </c>
    </row>
    <row r="2" spans="1:5" x14ac:dyDescent="0.25">
      <c r="A2" s="24" t="s">
        <v>1527</v>
      </c>
      <c r="B2" s="24" t="s">
        <v>1528</v>
      </c>
      <c r="C2" s="24" t="s">
        <v>1529</v>
      </c>
      <c r="D2" s="24" t="s">
        <v>1530</v>
      </c>
      <c r="E2" s="24" t="s">
        <v>725</v>
      </c>
    </row>
    <row r="3" spans="1:5" x14ac:dyDescent="0.25">
      <c r="A3" s="24" t="s">
        <v>1527</v>
      </c>
      <c r="B3" s="24" t="s">
        <v>1531</v>
      </c>
      <c r="C3" s="24" t="s">
        <v>1529</v>
      </c>
      <c r="D3" s="24" t="s">
        <v>1532</v>
      </c>
      <c r="E3" s="24" t="s">
        <v>725</v>
      </c>
    </row>
    <row r="4" spans="1:5" x14ac:dyDescent="0.25">
      <c r="A4" s="24" t="s">
        <v>1527</v>
      </c>
      <c r="B4" s="24" t="s">
        <v>1533</v>
      </c>
      <c r="C4" s="24" t="s">
        <v>1529</v>
      </c>
      <c r="D4" s="24" t="s">
        <v>1534</v>
      </c>
      <c r="E4" s="24" t="s">
        <v>725</v>
      </c>
    </row>
    <row r="5" spans="1:5" x14ac:dyDescent="0.25">
      <c r="A5" s="24" t="s">
        <v>1527</v>
      </c>
      <c r="B5" s="24" t="s">
        <v>1535</v>
      </c>
      <c r="C5" s="24" t="s">
        <v>1536</v>
      </c>
      <c r="D5" s="24" t="s">
        <v>1537</v>
      </c>
      <c r="E5" s="24" t="s">
        <v>725</v>
      </c>
    </row>
    <row r="6" spans="1:5" x14ac:dyDescent="0.25">
      <c r="A6" s="24" t="s">
        <v>1527</v>
      </c>
      <c r="B6" s="24" t="s">
        <v>1538</v>
      </c>
      <c r="C6" s="24" t="s">
        <v>1536</v>
      </c>
      <c r="D6" s="24" t="s">
        <v>1539</v>
      </c>
      <c r="E6" s="24" t="s">
        <v>725</v>
      </c>
    </row>
    <row r="7" spans="1:5" x14ac:dyDescent="0.25">
      <c r="A7" s="24" t="s">
        <v>1527</v>
      </c>
      <c r="B7" s="24" t="s">
        <v>1540</v>
      </c>
      <c r="C7" s="24" t="s">
        <v>1536</v>
      </c>
      <c r="D7" s="24" t="s">
        <v>1541</v>
      </c>
      <c r="E7" s="24" t="s">
        <v>725</v>
      </c>
    </row>
    <row r="8" spans="1:5" x14ac:dyDescent="0.25">
      <c r="A8" s="24" t="s">
        <v>1542</v>
      </c>
      <c r="B8" s="24" t="s">
        <v>62</v>
      </c>
      <c r="C8" s="24" t="s">
        <v>1536</v>
      </c>
      <c r="D8" s="24" t="s">
        <v>1543</v>
      </c>
      <c r="E8" s="24" t="s">
        <v>710</v>
      </c>
    </row>
    <row r="9" spans="1:5" x14ac:dyDescent="0.25">
      <c r="A9" s="24" t="s">
        <v>385</v>
      </c>
      <c r="B9" s="24" t="s">
        <v>1544</v>
      </c>
      <c r="C9" s="24" t="s">
        <v>1545</v>
      </c>
      <c r="D9" s="24" t="s">
        <v>1546</v>
      </c>
      <c r="E9" s="24" t="s">
        <v>1492</v>
      </c>
    </row>
    <row r="10" spans="1:5" x14ac:dyDescent="0.25">
      <c r="A10" s="24" t="s">
        <v>1547</v>
      </c>
      <c r="B10" s="24" t="s">
        <v>1548</v>
      </c>
      <c r="C10" s="24" t="s">
        <v>1529</v>
      </c>
      <c r="D10" s="24" t="s">
        <v>1549</v>
      </c>
      <c r="E10" s="24" t="s">
        <v>1550</v>
      </c>
    </row>
    <row r="11" spans="1:5" x14ac:dyDescent="0.25">
      <c r="A11" s="24" t="s">
        <v>1551</v>
      </c>
      <c r="B11" s="24" t="s">
        <v>1552</v>
      </c>
      <c r="C11" s="24" t="s">
        <v>48</v>
      </c>
      <c r="D11" s="24" t="s">
        <v>1553</v>
      </c>
      <c r="E11" s="24" t="s">
        <v>137</v>
      </c>
    </row>
    <row r="12" spans="1:5" x14ac:dyDescent="0.25">
      <c r="A12" s="24" t="s">
        <v>1554</v>
      </c>
      <c r="B12" s="24" t="s">
        <v>1555</v>
      </c>
      <c r="C12" s="24" t="s">
        <v>48</v>
      </c>
      <c r="D12" s="24" t="s">
        <v>1556</v>
      </c>
      <c r="E12" s="24" t="s">
        <v>1557</v>
      </c>
    </row>
    <row r="13" spans="1:5" x14ac:dyDescent="0.25">
      <c r="A13" s="24" t="s">
        <v>1551</v>
      </c>
      <c r="B13" s="24" t="s">
        <v>1558</v>
      </c>
      <c r="C13" s="24" t="s">
        <v>48</v>
      </c>
      <c r="D13" s="24" t="s">
        <v>1559</v>
      </c>
      <c r="E13" s="24" t="s">
        <v>838</v>
      </c>
    </row>
    <row r="14" spans="1:5" x14ac:dyDescent="0.25">
      <c r="A14" s="24" t="s">
        <v>1554</v>
      </c>
      <c r="B14" s="24" t="s">
        <v>479</v>
      </c>
      <c r="C14" s="24" t="s">
        <v>48</v>
      </c>
      <c r="D14" s="24" t="s">
        <v>1560</v>
      </c>
      <c r="E14" s="24" t="s">
        <v>1561</v>
      </c>
    </row>
    <row r="15" spans="1:5" x14ac:dyDescent="0.25">
      <c r="A15" s="24" t="s">
        <v>1551</v>
      </c>
      <c r="B15" s="24" t="s">
        <v>1562</v>
      </c>
      <c r="C15" s="24" t="s">
        <v>48</v>
      </c>
      <c r="D15" s="24" t="s">
        <v>1563</v>
      </c>
      <c r="E15" s="24" t="s">
        <v>838</v>
      </c>
    </row>
    <row r="16" spans="1:5" x14ac:dyDescent="0.25">
      <c r="A16" s="24" t="s">
        <v>1551</v>
      </c>
      <c r="B16" s="24" t="s">
        <v>1564</v>
      </c>
      <c r="C16" s="24" t="s">
        <v>48</v>
      </c>
      <c r="D16" s="24" t="s">
        <v>1565</v>
      </c>
      <c r="E16" s="24" t="s">
        <v>838</v>
      </c>
    </row>
    <row r="17" spans="1:5" x14ac:dyDescent="0.25">
      <c r="A17" s="24" t="s">
        <v>1551</v>
      </c>
      <c r="B17" s="24" t="s">
        <v>1566</v>
      </c>
      <c r="C17" s="24" t="s">
        <v>51</v>
      </c>
      <c r="D17" s="24" t="s">
        <v>1567</v>
      </c>
      <c r="E17" s="24" t="s">
        <v>838</v>
      </c>
    </row>
    <row r="18" spans="1:5" x14ac:dyDescent="0.25">
      <c r="A18" s="24" t="s">
        <v>1551</v>
      </c>
      <c r="B18" s="24" t="s">
        <v>1568</v>
      </c>
      <c r="C18" s="24" t="s">
        <v>51</v>
      </c>
      <c r="D18" s="24" t="s">
        <v>1569</v>
      </c>
      <c r="E18" s="24" t="s">
        <v>838</v>
      </c>
    </row>
    <row r="19" spans="1:5" x14ac:dyDescent="0.25">
      <c r="A19" s="24" t="s">
        <v>1551</v>
      </c>
      <c r="B19" s="24" t="s">
        <v>1570</v>
      </c>
      <c r="C19" s="24" t="s">
        <v>51</v>
      </c>
      <c r="D19" s="24" t="s">
        <v>1571</v>
      </c>
      <c r="E19" s="24" t="s">
        <v>1045</v>
      </c>
    </row>
    <row r="20" spans="1:5" x14ac:dyDescent="0.25">
      <c r="A20" s="24" t="s">
        <v>1551</v>
      </c>
      <c r="B20" s="24" t="s">
        <v>1572</v>
      </c>
      <c r="C20" s="24" t="s">
        <v>53</v>
      </c>
      <c r="D20" s="24" t="s">
        <v>1573</v>
      </c>
      <c r="E20" s="24" t="s">
        <v>838</v>
      </c>
    </row>
    <row r="21" spans="1:5" x14ac:dyDescent="0.25">
      <c r="A21" s="24" t="s">
        <v>1574</v>
      </c>
      <c r="B21" s="24" t="s">
        <v>1575</v>
      </c>
      <c r="C21" s="24" t="s">
        <v>48</v>
      </c>
      <c r="D21" s="24" t="s">
        <v>1576</v>
      </c>
      <c r="E21" s="24" t="s">
        <v>421</v>
      </c>
    </row>
    <row r="22" spans="1:5" x14ac:dyDescent="0.25">
      <c r="A22" s="24" t="s">
        <v>1574</v>
      </c>
      <c r="B22" s="24" t="s">
        <v>1577</v>
      </c>
      <c r="C22" s="24" t="s">
        <v>48</v>
      </c>
      <c r="D22" s="24" t="s">
        <v>1578</v>
      </c>
      <c r="E22" s="24" t="s">
        <v>421</v>
      </c>
    </row>
    <row r="23" spans="1:5" x14ac:dyDescent="0.25">
      <c r="A23" s="24" t="s">
        <v>1574</v>
      </c>
      <c r="B23" s="24" t="s">
        <v>1579</v>
      </c>
      <c r="C23" s="24" t="s">
        <v>48</v>
      </c>
      <c r="D23" s="24" t="s">
        <v>1580</v>
      </c>
      <c r="E23" s="24" t="s">
        <v>421</v>
      </c>
    </row>
    <row r="24" spans="1:5" x14ac:dyDescent="0.25">
      <c r="A24" s="24" t="s">
        <v>1574</v>
      </c>
      <c r="B24" s="24" t="s">
        <v>1581</v>
      </c>
      <c r="C24" s="24" t="s">
        <v>1582</v>
      </c>
      <c r="D24" s="24" t="s">
        <v>1583</v>
      </c>
      <c r="E24" s="24" t="s">
        <v>1584</v>
      </c>
    </row>
    <row r="25" spans="1:5" x14ac:dyDescent="0.25">
      <c r="A25" s="24" t="s">
        <v>1574</v>
      </c>
      <c r="B25" s="24" t="s">
        <v>1585</v>
      </c>
      <c r="C25" s="24" t="s">
        <v>48</v>
      </c>
      <c r="D25" s="24" t="s">
        <v>1586</v>
      </c>
      <c r="E25" s="24" t="s">
        <v>421</v>
      </c>
    </row>
    <row r="26" spans="1:5" x14ac:dyDescent="0.25">
      <c r="A26" s="24" t="s">
        <v>1574</v>
      </c>
      <c r="B26" s="24" t="s">
        <v>1587</v>
      </c>
      <c r="C26" s="24" t="s">
        <v>1588</v>
      </c>
      <c r="D26" s="24" t="s">
        <v>1589</v>
      </c>
      <c r="E26" s="24" t="s">
        <v>1590</v>
      </c>
    </row>
    <row r="27" spans="1:5" x14ac:dyDescent="0.25">
      <c r="A27" s="24" t="s">
        <v>1574</v>
      </c>
      <c r="B27" s="24" t="s">
        <v>1591</v>
      </c>
      <c r="C27" s="24" t="s">
        <v>1592</v>
      </c>
      <c r="D27" s="24" t="s">
        <v>1593</v>
      </c>
      <c r="E27" s="24" t="s">
        <v>1594</v>
      </c>
    </row>
    <row r="28" spans="1:5" x14ac:dyDescent="0.25">
      <c r="A28" s="24" t="s">
        <v>1574</v>
      </c>
      <c r="B28" s="24" t="s">
        <v>1595</v>
      </c>
      <c r="C28" s="24" t="s">
        <v>53</v>
      </c>
      <c r="D28" s="24" t="s">
        <v>1596</v>
      </c>
      <c r="E28" s="24" t="s">
        <v>1597</v>
      </c>
    </row>
    <row r="29" spans="1:5" x14ac:dyDescent="0.25">
      <c r="A29" s="24" t="s">
        <v>1574</v>
      </c>
      <c r="B29" s="24" t="s">
        <v>1598</v>
      </c>
      <c r="C29" s="24" t="s">
        <v>53</v>
      </c>
      <c r="D29" s="24" t="s">
        <v>1599</v>
      </c>
      <c r="E29" s="24" t="s">
        <v>1597</v>
      </c>
    </row>
    <row r="30" spans="1:5" x14ac:dyDescent="0.25">
      <c r="A30" s="24" t="s">
        <v>1574</v>
      </c>
      <c r="B30" s="24" t="s">
        <v>1600</v>
      </c>
      <c r="C30" s="24" t="s">
        <v>48</v>
      </c>
      <c r="D30" s="24" t="s">
        <v>1601</v>
      </c>
      <c r="E30" s="24" t="s">
        <v>1602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개요</vt:lpstr>
      <vt:lpstr>요약</vt:lpstr>
      <vt:lpstr>TC</vt:lpstr>
      <vt:lpstr>참고_상태·문구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서비스기획</dc:creator>
  <dc:title/>
  <dc:subject/>
  <dc:description/>
  <cp:keywords/>
  <cp:category/>
  <cp:lastModifiedBy>Unknown</cp:lastModifiedBy>
  <dcterms:created xsi:type="dcterms:W3CDTF">2026-10-06T06:17:56Z</dcterms:created>
  <dcterms:modified xsi:type="dcterms:W3CDTF">2026-10-06T06:17:56Z</dcterms:modified>
</cp:coreProperties>
</file>