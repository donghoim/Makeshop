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ocuments\Claude-Workspace\Makeshop-Repo\meta-channel\qa\"/>
    </mc:Choice>
  </mc:AlternateContent>
  <xr:revisionPtr revIDLastSave="0" documentId="13_ncr:1_{BAE35ED8-277F-471F-9CE8-122E509DC315}" xr6:coauthVersionLast="47" xr6:coauthVersionMax="47" xr10:uidLastSave="{00000000-0000-0000-0000-000000000000}"/>
  <bookViews>
    <workbookView xWindow="-105" yWindow="-16320" windowWidth="29040" windowHeight="15720" tabRatio="500" activeTab="2" xr2:uid="{00000000-000D-0000-FFFF-FFFF00000000}"/>
  </bookViews>
  <sheets>
    <sheet name="History" sheetId="1" r:id="rId1"/>
    <sheet name="Summary" sheetId="2" r:id="rId2"/>
    <sheet name="TC" sheetId="3" r:id="rId3"/>
    <sheet name="Code" sheetId="4" r:id="rId4"/>
  </sheets>
  <definedNames>
    <definedName name="_xlnm._FilterDatabase" localSheetId="2" hidden="1">TC!$A$6:$M$310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2" l="1"/>
  <c r="C16" i="2"/>
  <c r="C15" i="2"/>
  <c r="C11" i="2"/>
  <c r="C10" i="2"/>
  <c r="C9" i="2"/>
  <c r="C8" i="2"/>
  <c r="C7" i="2"/>
  <c r="C6" i="2"/>
  <c r="C5" i="2"/>
  <c r="D4" i="3" l="1"/>
  <c r="E4" i="3"/>
  <c r="C12" i="2"/>
  <c r="F4" i="3"/>
  <c r="C19" i="2" l="1"/>
  <c r="C4" i="3"/>
  <c r="C3" i="2"/>
  <c r="A4" i="3" s="1"/>
  <c r="C4" i="2"/>
  <c r="B4" i="3" s="1"/>
</calcChain>
</file>

<file path=xl/sharedStrings.xml><?xml version="1.0" encoding="utf-8"?>
<sst xmlns="http://schemas.openxmlformats.org/spreadsheetml/2006/main" count="1104" uniqueCount="744">
  <si>
    <t>테스트명</t>
  </si>
  <si>
    <t>기획</t>
  </si>
  <si>
    <t>개발</t>
  </si>
  <si>
    <t>TC</t>
  </si>
  <si>
    <t>테스트</t>
  </si>
  <si>
    <t>Jira Key</t>
  </si>
  <si>
    <t>테스트 진행일정</t>
  </si>
  <si>
    <t>날짜</t>
  </si>
  <si>
    <t>내용</t>
  </si>
  <si>
    <r>
      <rPr>
        <sz val="10"/>
        <color rgb="FF222222"/>
        <rFont val="Malgun Gothic"/>
        <family val="3"/>
        <charset val="129"/>
      </rPr>
      <t xml:space="preserve">TC </t>
    </r>
    <r>
      <rPr>
        <sz val="10"/>
        <color rgb="FF222222"/>
        <rFont val="Noto Sans CJK SC"/>
        <family val="2"/>
      </rPr>
      <t>작성</t>
    </r>
  </si>
  <si>
    <t>수정내역</t>
  </si>
  <si>
    <t>버전</t>
  </si>
  <si>
    <t>작성/수정일</t>
  </si>
  <si>
    <t>변경 내용</t>
  </si>
  <si>
    <t>작성자</t>
  </si>
  <si>
    <t>v1.0</t>
  </si>
  <si>
    <t>최초 작성</t>
  </si>
  <si>
    <r>
      <rPr>
        <b/>
        <sz val="10"/>
        <color rgb="FFFFFFFF"/>
        <rFont val="Malgun Gothic"/>
        <family val="3"/>
        <charset val="129"/>
      </rPr>
      <t>TC</t>
    </r>
    <r>
      <rPr>
        <b/>
        <sz val="10"/>
        <color rgb="FFFFFFFF"/>
        <rFont val="Noto Sans CJK SC"/>
        <family val="2"/>
      </rPr>
      <t>수행 결과</t>
    </r>
  </si>
  <si>
    <r>
      <rPr>
        <b/>
        <sz val="10"/>
        <color rgb="FFFFFFFF"/>
        <rFont val="Malgun Gothic"/>
        <family val="3"/>
        <charset val="129"/>
      </rPr>
      <t xml:space="preserve">TC </t>
    </r>
    <r>
      <rPr>
        <b/>
        <sz val="10"/>
        <color rgb="FFFFFFFF"/>
        <rFont val="Noto Sans CJK SC"/>
        <family val="2"/>
      </rPr>
      <t>수</t>
    </r>
  </si>
  <si>
    <t>설명</t>
  </si>
  <si>
    <t>진행률</t>
  </si>
  <si>
    <t>(PASS+FIXED+FAIL+Reopen+N/A) ÷ 전체 TC 수 × 100%</t>
  </si>
  <si>
    <t>성공률</t>
  </si>
  <si>
    <t>(PASS+FIXED) ÷ 대상 TC(N/A 제외)</t>
  </si>
  <si>
    <t>N/T</t>
  </si>
  <si>
    <t>미수행 (Result 공란 포함)</t>
  </si>
  <si>
    <t>진행중</t>
  </si>
  <si>
    <t>수행 중</t>
  </si>
  <si>
    <t>PASS</t>
  </si>
  <si>
    <t>정상 동작 확인</t>
  </si>
  <si>
    <t>FIXED</t>
  </si>
  <si>
    <t>결함 수정 후 정상 확인</t>
  </si>
  <si>
    <t>FAIL</t>
  </si>
  <si>
    <t>결함 발생 (Jira 제품 오류 티켓 발행)</t>
  </si>
  <si>
    <t>Reopen</t>
  </si>
  <si>
    <t>수정 후 결함 재발</t>
  </si>
  <si>
    <t>N/A</t>
  </si>
  <si>
    <t>적용 제외 (사유는 Comment에 기재)</t>
  </si>
  <si>
    <r>
      <rPr>
        <b/>
        <sz val="10"/>
        <color rgb="FF222222"/>
        <rFont val="Noto Sans CJK SC"/>
        <family val="2"/>
      </rPr>
      <t xml:space="preserve">전체 </t>
    </r>
    <r>
      <rPr>
        <b/>
        <sz val="10"/>
        <color rgb="FF222222"/>
        <rFont val="Malgun Gothic"/>
        <family val="3"/>
        <charset val="129"/>
      </rPr>
      <t>TC</t>
    </r>
  </si>
  <si>
    <r>
      <rPr>
        <b/>
        <sz val="10"/>
        <color rgb="FF222222"/>
        <rFont val="Malgun Gothic"/>
        <family val="3"/>
        <charset val="129"/>
      </rPr>
      <t>TC ID</t>
    </r>
    <r>
      <rPr>
        <b/>
        <sz val="10"/>
        <color rgb="FF222222"/>
        <rFont val="Noto Sans CJK SC"/>
        <family val="2"/>
      </rPr>
      <t xml:space="preserve">가 입력된 전체 </t>
    </r>
    <r>
      <rPr>
        <b/>
        <sz val="10"/>
        <color rgb="FF222222"/>
        <rFont val="Malgun Gothic"/>
        <family val="3"/>
        <charset val="129"/>
      </rPr>
      <t xml:space="preserve">TC </t>
    </r>
    <r>
      <rPr>
        <b/>
        <sz val="10"/>
        <color rgb="FF222222"/>
        <rFont val="Noto Sans CJK SC"/>
        <family val="2"/>
      </rPr>
      <t>수</t>
    </r>
  </si>
  <si>
    <t>위험도</t>
  </si>
  <si>
    <t>P0</t>
  </si>
  <si>
    <t>서비스 핵심 기능 중단·즉시 조치 필요 (결제/주문 불가, 관리자 핵심 기능 사용 불가)</t>
  </si>
  <si>
    <t>P1</t>
  </si>
  <si>
    <t>주요 기능 오류·우회 제한적 (주요 설정 저장 오류, 장바구니 수량 변경 오류)</t>
  </si>
  <si>
    <t>P2</t>
  </si>
  <si>
    <t>경미한 오류·UI/문구 문제·우회 가능 (문구 오타, 정렬/간격 문제)</t>
  </si>
  <si>
    <t>완료 조건</t>
  </si>
  <si>
    <t>FAIL·Reopen·N/T·진행중 없이 PASS/FIXED/N/A로 확정되면 충족</t>
  </si>
  <si>
    <t>작성 가이드: 컬럼명·순서 변경 금지, 각 행은 독립적으로 재현 가능하게 작성 / 근거 출처 = [출처 유형] 문서명 또는 화면명 &gt; 위치 (여러 개는 줄바꿈) / TC ID = [모듈약어]_[순번] / 위험도 = P0·P1·P2 / 7행은 예시이므로 삭제 후 사용</t>
  </si>
  <si>
    <t>전체 진행률</t>
  </si>
  <si>
    <r>
      <rPr>
        <b/>
        <sz val="10"/>
        <color rgb="FFFFFFFF"/>
        <rFont val="Noto Sans CJK SC"/>
        <family val="2"/>
      </rPr>
      <t xml:space="preserve">전체 </t>
    </r>
    <r>
      <rPr>
        <b/>
        <sz val="10"/>
        <color rgb="FFFFFFFF"/>
        <rFont val="Malgun Gothic"/>
        <family val="3"/>
        <charset val="129"/>
      </rPr>
      <t>TC</t>
    </r>
  </si>
  <si>
    <t>PASS+FIXED</t>
  </si>
  <si>
    <t>FAIL+Reopen</t>
  </si>
  <si>
    <r>
      <rPr>
        <b/>
        <sz val="10"/>
        <color rgb="FFFFFFFF"/>
        <rFont val="Noto Sans CJK SC"/>
        <family val="2"/>
      </rPr>
      <t>미완료</t>
    </r>
    <r>
      <rPr>
        <b/>
        <sz val="10"/>
        <color rgb="FFFFFFFF"/>
        <rFont val="Malgun Gothic"/>
        <family val="3"/>
        <charset val="129"/>
      </rPr>
      <t>(N/T+</t>
    </r>
    <r>
      <rPr>
        <b/>
        <sz val="10"/>
        <color rgb="FFFFFFFF"/>
        <rFont val="Noto Sans CJK SC"/>
        <family val="2"/>
      </rPr>
      <t>진행중</t>
    </r>
    <r>
      <rPr>
        <b/>
        <sz val="10"/>
        <color rgb="FFFFFFFF"/>
        <rFont val="Malgun Gothic"/>
        <family val="3"/>
        <charset val="129"/>
      </rPr>
      <t>)</t>
    </r>
  </si>
  <si>
    <t>근거 출처</t>
  </si>
  <si>
    <t>TC ID</t>
  </si>
  <si>
    <r>
      <rPr>
        <b/>
        <sz val="10"/>
        <color rgb="FFFFFFFF"/>
        <rFont val="Malgun Gothic"/>
        <family val="3"/>
        <charset val="129"/>
      </rPr>
      <t>Category
(</t>
    </r>
    <r>
      <rPr>
        <b/>
        <sz val="10"/>
        <color rgb="FFFFFFFF"/>
        <rFont val="Noto Sans CJK SC"/>
        <family val="2"/>
      </rPr>
      <t>분류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</si>
  <si>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>Precondition
(</t>
    </r>
    <r>
      <rPr>
        <b/>
        <sz val="10"/>
        <color rgb="FFFFFFFF"/>
        <rFont val="Noto Sans CJK SC"/>
        <family val="2"/>
      </rPr>
      <t>사전조건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</si>
  <si>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>Step
(</t>
    </r>
    <r>
      <rPr>
        <b/>
        <sz val="10"/>
        <color rgb="FFFFFFFF"/>
        <rFont val="Noto Sans CJK SC"/>
        <family val="2"/>
      </rPr>
      <t>절차</t>
    </r>
    <r>
      <rPr>
        <b/>
        <sz val="10"/>
        <color rgb="FFFFFFFF"/>
        <rFont val="Malgun Gothic"/>
        <family val="3"/>
        <charset val="129"/>
      </rPr>
      <t>·</t>
    </r>
    <r>
      <rPr>
        <b/>
        <sz val="10"/>
        <color rgb="FFFFFFFF"/>
        <rFont val="Noto Sans CJK SC"/>
        <family val="2"/>
      </rPr>
      <t>시나리오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</si>
  <si>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>Expected Result
(</t>
    </r>
    <r>
      <rPr>
        <b/>
        <sz val="10"/>
        <color rgb="FFFFFFFF"/>
        <rFont val="Noto Sans CJK SC"/>
        <family val="2"/>
      </rPr>
      <t>예상결과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</si>
  <si>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>Test Result
(</t>
    </r>
    <r>
      <rPr>
        <b/>
        <sz val="10"/>
        <color rgb="FFFFFFFF"/>
        <rFont val="Noto Sans CJK SC"/>
        <family val="2"/>
      </rPr>
      <t>실제결과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</si>
  <si>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>Result
(</t>
    </r>
    <r>
      <rPr>
        <b/>
        <sz val="10"/>
        <color rgb="FFFFFFFF"/>
        <rFont val="Noto Sans CJK SC"/>
        <family val="2"/>
      </rPr>
      <t>테스트 상태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</si>
  <si>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>Comment
(</t>
    </r>
    <r>
      <rPr>
        <b/>
        <sz val="10"/>
        <color rgb="FFFFFFFF"/>
        <rFont val="Noto Sans CJK SC"/>
        <family val="2"/>
      </rPr>
      <t>이슈번호</t>
    </r>
    <r>
      <rPr>
        <b/>
        <sz val="10"/>
        <color rgb="FFFFFFFF"/>
        <rFont val="Malgun Gothic"/>
        <family val="3"/>
        <charset val="129"/>
      </rPr>
      <t>·</t>
    </r>
    <r>
      <rPr>
        <b/>
        <sz val="10"/>
        <color rgb="FFFFFFFF"/>
        <rFont val="Noto Sans CJK SC"/>
        <family val="2"/>
      </rPr>
      <t>특이사항</t>
    </r>
    <r>
      <rPr>
        <b/>
        <sz val="10"/>
        <color rgb="FFFFFFFF"/>
        <rFont val="Malgun Gothic"/>
        <family val="3"/>
        <charset val="129"/>
      </rPr>
      <t>)</t>
    </r>
  </si>
  <si>
    <t>테스트 담당자</t>
  </si>
  <si>
    <r>
      <rPr>
        <b/>
        <sz val="10"/>
        <color rgb="FFFFFFFF"/>
        <rFont val="Malgun Gothic"/>
        <family val="3"/>
        <charset val="129"/>
      </rPr>
      <t>Result(</t>
    </r>
    <r>
      <rPr>
        <b/>
        <sz val="10"/>
        <color rgb="FFFFFFFF"/>
        <rFont val="Noto Sans CJK SC"/>
        <family val="2"/>
      </rPr>
      <t>결과 코드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</si>
  <si>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Malgun Gothic"/>
        <family val="3"/>
        <charset val="129"/>
      </rPr>
      <t>Defect type(</t>
    </r>
    <r>
      <rPr>
        <b/>
        <sz val="10"/>
        <color rgb="FFFFFFFF"/>
        <rFont val="Noto Sans CJK SC"/>
        <family val="2"/>
      </rPr>
      <t>결함 유형</t>
    </r>
    <r>
      <rPr>
        <b/>
        <sz val="10"/>
        <color rgb="FFFFFFFF"/>
        <rFont val="Malgun Gothic"/>
        <family val="3"/>
        <charset val="129"/>
      </rPr>
      <t>)</t>
    </r>
  </si>
  <si>
    <t>코드 설명</t>
  </si>
  <si>
    <r>
      <rPr>
        <sz val="10"/>
        <color rgb="FF222222"/>
        <rFont val="Malgun Gothic"/>
        <family val="3"/>
        <charset val="129"/>
      </rPr>
      <t xml:space="preserve">N/T: </t>
    </r>
    <r>
      <rPr>
        <sz val="10"/>
        <color rgb="FF222222"/>
        <rFont val="Noto Sans CJK SC"/>
        <family val="2"/>
      </rPr>
      <t xml:space="preserve">미수행 </t>
    </r>
    <r>
      <rPr>
        <sz val="10"/>
        <color rgb="FF222222"/>
        <rFont val="Malgun Gothic"/>
        <family val="3"/>
        <charset val="129"/>
      </rPr>
      <t xml:space="preserve">(Result </t>
    </r>
    <r>
      <rPr>
        <sz val="10"/>
        <color rgb="FF222222"/>
        <rFont val="Noto Sans CJK SC"/>
        <family val="2"/>
      </rPr>
      <t>공란 포함</t>
    </r>
    <r>
      <rPr>
        <sz val="10"/>
        <color rgb="FF222222"/>
        <rFont val="Malgun Gothic"/>
        <family val="3"/>
        <charset val="129"/>
      </rPr>
      <t>)</t>
    </r>
  </si>
  <si>
    <r>
      <rPr>
        <sz val="10"/>
        <color rgb="FF222222"/>
        <rFont val="Noto Sans CJK SC"/>
        <family val="2"/>
      </rPr>
      <t>진행중</t>
    </r>
    <r>
      <rPr>
        <sz val="10"/>
        <color rgb="FF222222"/>
        <rFont val="Malgun Gothic"/>
        <family val="3"/>
        <charset val="129"/>
      </rPr>
      <t xml:space="preserve">: </t>
    </r>
    <r>
      <rPr>
        <sz val="10"/>
        <color rgb="FF222222"/>
        <rFont val="Noto Sans CJK SC"/>
        <family val="2"/>
      </rPr>
      <t>수행 중</t>
    </r>
  </si>
  <si>
    <r>
      <rPr>
        <sz val="10"/>
        <color rgb="FF222222"/>
        <rFont val="Malgun Gothic"/>
        <family val="3"/>
        <charset val="129"/>
      </rPr>
      <t xml:space="preserve">PASS: </t>
    </r>
    <r>
      <rPr>
        <sz val="10"/>
        <color rgb="FF222222"/>
        <rFont val="Noto Sans CJK SC"/>
        <family val="2"/>
      </rPr>
      <t>정상 동작 확인</t>
    </r>
  </si>
  <si>
    <r>
      <rPr>
        <sz val="10"/>
        <color rgb="FF222222"/>
        <rFont val="Malgun Gothic"/>
        <family val="3"/>
        <charset val="129"/>
      </rPr>
      <t xml:space="preserve">FIXED: </t>
    </r>
    <r>
      <rPr>
        <sz val="10"/>
        <color rgb="FF222222"/>
        <rFont val="Noto Sans CJK SC"/>
        <family val="2"/>
      </rPr>
      <t>결함 수정 후 정상 확인</t>
    </r>
  </si>
  <si>
    <r>
      <rPr>
        <sz val="10"/>
        <color rgb="FF222222"/>
        <rFont val="Malgun Gothic"/>
        <family val="3"/>
        <charset val="129"/>
      </rPr>
      <t xml:space="preserve">FAIL: </t>
    </r>
    <r>
      <rPr>
        <sz val="10"/>
        <color rgb="FF222222"/>
        <rFont val="Noto Sans CJK SC"/>
        <family val="2"/>
      </rPr>
      <t xml:space="preserve">결함 발생 </t>
    </r>
    <r>
      <rPr>
        <sz val="10"/>
        <color rgb="FF222222"/>
        <rFont val="Malgun Gothic"/>
        <family val="3"/>
        <charset val="129"/>
      </rPr>
      <t xml:space="preserve">(Jira </t>
    </r>
    <r>
      <rPr>
        <sz val="10"/>
        <color rgb="FF222222"/>
        <rFont val="Noto Sans CJK SC"/>
        <family val="2"/>
      </rPr>
      <t>제품 오류 티켓 발행</t>
    </r>
    <r>
      <rPr>
        <sz val="10"/>
        <color rgb="FF222222"/>
        <rFont val="Malgun Gothic"/>
        <family val="3"/>
        <charset val="129"/>
      </rPr>
      <t>)</t>
    </r>
  </si>
  <si>
    <r>
      <rPr>
        <sz val="10"/>
        <color rgb="FF222222"/>
        <rFont val="Malgun Gothic"/>
        <family val="3"/>
        <charset val="129"/>
      </rPr>
      <t xml:space="preserve">Reopen: </t>
    </r>
    <r>
      <rPr>
        <sz val="10"/>
        <color rgb="FF222222"/>
        <rFont val="Noto Sans CJK SC"/>
        <family val="2"/>
      </rPr>
      <t>수정 후 결함 재발</t>
    </r>
  </si>
  <si>
    <r>
      <rPr>
        <sz val="10"/>
        <color rgb="FF222222"/>
        <rFont val="Malgun Gothic"/>
        <family val="3"/>
        <charset val="129"/>
      </rPr>
      <t xml:space="preserve">N/A: </t>
    </r>
    <r>
      <rPr>
        <sz val="10"/>
        <color rgb="FF222222"/>
        <rFont val="Noto Sans CJK SC"/>
        <family val="2"/>
      </rPr>
      <t xml:space="preserve">적용 제외 </t>
    </r>
    <r>
      <rPr>
        <sz val="10"/>
        <color rgb="FF222222"/>
        <rFont val="Malgun Gothic"/>
        <family val="3"/>
        <charset val="129"/>
      </rPr>
      <t>(</t>
    </r>
    <r>
      <rPr>
        <sz val="10"/>
        <color rgb="FF222222"/>
        <rFont val="Noto Sans CJK SC"/>
        <family val="2"/>
      </rPr>
      <t xml:space="preserve">사유는 </t>
    </r>
    <r>
      <rPr>
        <sz val="10"/>
        <color rgb="FF222222"/>
        <rFont val="Malgun Gothic"/>
        <family val="3"/>
        <charset val="129"/>
      </rPr>
      <t>Comment</t>
    </r>
    <r>
      <rPr>
        <sz val="10"/>
        <color rgb="FF222222"/>
        <rFont val="Noto Sans CJK SC"/>
        <family val="2"/>
      </rPr>
      <t>에 기재</t>
    </r>
    <r>
      <rPr>
        <sz val="10"/>
        <color rgb="FF222222"/>
        <rFont val="Malgun Gothic"/>
        <family val="3"/>
        <charset val="129"/>
      </rPr>
      <t>)</t>
    </r>
  </si>
  <si>
    <r>
      <rPr>
        <sz val="10"/>
        <color rgb="FF666666"/>
        <rFont val="Malgun Gothic"/>
        <family val="3"/>
        <charset val="129"/>
      </rPr>
      <t xml:space="preserve">※ Defect type </t>
    </r>
    <r>
      <rPr>
        <sz val="10"/>
        <color rgb="FF666666"/>
        <rFont val="Noto Sans CJK SC"/>
        <family val="2"/>
      </rPr>
      <t xml:space="preserve">값은 팀 기준에 맞게 </t>
    </r>
    <r>
      <rPr>
        <sz val="10"/>
        <color rgb="FF666666"/>
        <rFont val="Malgun Gothic"/>
        <family val="3"/>
        <charset val="129"/>
      </rPr>
      <t>C</t>
    </r>
    <r>
      <rPr>
        <sz val="10"/>
        <color rgb="FF666666"/>
        <rFont val="Noto Sans CJK SC"/>
        <family val="2"/>
      </rPr>
      <t>열에 정의하세요</t>
    </r>
    <r>
      <rPr>
        <sz val="10"/>
        <color rgb="FF666666"/>
        <rFont val="Malgun Gothic"/>
        <family val="3"/>
        <charset val="129"/>
      </rPr>
      <t>.</t>
    </r>
  </si>
  <si>
    <r>
      <rPr>
        <sz val="10"/>
        <color rgb="FF666666"/>
        <rFont val="Malgun Gothic"/>
        <family val="3"/>
        <charset val="129"/>
      </rPr>
      <t xml:space="preserve">※ Result </t>
    </r>
    <r>
      <rPr>
        <sz val="10"/>
        <color rgb="FF666666"/>
        <rFont val="Noto Sans CJK SC"/>
        <family val="2"/>
      </rPr>
      <t>가이드 표</t>
    </r>
    <r>
      <rPr>
        <sz val="10"/>
        <color rgb="FF666666"/>
        <rFont val="Malgun Gothic"/>
        <family val="3"/>
        <charset val="129"/>
      </rPr>
      <t>(PASS/FIXED/FAIL/N/A/</t>
    </r>
    <r>
      <rPr>
        <sz val="10"/>
        <color rgb="FF666666"/>
        <rFont val="Noto Sans CJK SC"/>
        <family val="2"/>
      </rPr>
      <t>진행중</t>
    </r>
    <r>
      <rPr>
        <sz val="10"/>
        <color rgb="FF666666"/>
        <rFont val="Malgun Gothic"/>
        <family val="3"/>
        <charset val="129"/>
      </rPr>
      <t xml:space="preserve">) </t>
    </r>
    <r>
      <rPr>
        <sz val="10"/>
        <color rgb="FF666666"/>
        <rFont val="Noto Sans CJK SC"/>
        <family val="2"/>
      </rPr>
      <t xml:space="preserve">외 </t>
    </r>
    <r>
      <rPr>
        <sz val="10"/>
        <color rgb="FF666666"/>
        <rFont val="Malgun Gothic"/>
        <family val="3"/>
        <charset val="129"/>
      </rPr>
      <t>N/T·Reopen</t>
    </r>
    <r>
      <rPr>
        <sz val="10"/>
        <color rgb="FF666666"/>
        <rFont val="Noto Sans CJK SC"/>
        <family val="2"/>
      </rPr>
      <t>은 진행률 수식</t>
    </r>
    <r>
      <rPr>
        <sz val="10"/>
        <color rgb="FF666666"/>
        <rFont val="Malgun Gothic"/>
        <family val="3"/>
        <charset val="129"/>
      </rPr>
      <t>·</t>
    </r>
    <r>
      <rPr>
        <sz val="10"/>
        <color rgb="FF666666"/>
        <rFont val="Noto Sans CJK SC"/>
        <family val="2"/>
      </rPr>
      <t>완료 조건 기준으로 추가</t>
    </r>
  </si>
  <si>
    <r>
      <rPr>
        <b/>
        <sz val="10"/>
        <color rgb="FFFFFFFF"/>
        <rFont val="맑은 고딕"/>
        <family val="3"/>
        <charset val="129"/>
      </rPr>
      <t>테스트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2"/>
        <charset val="129"/>
      </rPr>
      <t>서버</t>
    </r>
    <phoneticPr fontId="18" type="noConversion"/>
  </si>
  <si>
    <t>Menu
(메뉴·화면)</t>
    <phoneticPr fontId="18" type="noConversion"/>
  </si>
  <si>
    <t>Function
(세부 기능)</t>
    <phoneticPr fontId="18" type="noConversion"/>
  </si>
  <si>
    <t>HOME_001</t>
  </si>
  <si>
    <t>관리자(Admin)</t>
  </si>
  <si>
    <t>부가서비스 &gt; 채널</t>
  </si>
  <si>
    <t>Meta 비즈니스 카드</t>
  </si>
  <si>
    <t>1. 부가서비스 &gt; 채널 메뉴에 진입한다.
2. [Meta 비즈니스] 카드를 클릭한다.</t>
  </si>
  <si>
    <t>- 채널 카드 목록에 'Meta 비즈니스' 카드가 노출되고 '페이스북 연동' 카드는 노출되지 않음 확인
- 카드 클릭 시 Meta 비즈니스 홈 탭으로 이동 확인</t>
  </si>
  <si>
    <t>HOME_002</t>
  </si>
  <si>
    <t>부가서비스 &gt; 채널 &gt; Meta 비즈니스 &gt; 홈</t>
  </si>
  <si>
    <t>영역별 [설정하기] 버튼</t>
  </si>
  <si>
    <t>- 주운영자 로그인 상태
- FBE 연동 이력이 없는 상점</t>
  </si>
  <si>
    <t>1. Meta 비즈니스 홈 탭에 진입한다.
2. 연결 관리 영역의 [설정하기]를 클릭한다.</t>
  </si>
  <si>
    <t>- 연결 관리·상품 피드·광고 관리·Shops 관리 4개 영역 카드가 순서대로 노출되고 각 영역에 [설정하기]만 노출 확인
- [설정하기] 클릭 시 연결 관리 탭으로 이동 확인</t>
  </si>
  <si>
    <t>HOME_003</t>
  </si>
  <si>
    <t>영역별 [자세히 보기] 버튼</t>
  </si>
  <si>
    <t>- 주운영자 로그인 상태
- FBE 연동 완료 상점(비즈니스 관리자·페이지·픽셀·카탈로그·광고 계정 연결)
- 상품 카테고리 매칭 반영 완료</t>
  </si>
  <si>
    <t>1. Meta 비즈니스 홈 탭에 진입한다.
2. Shops 관리 영역의 [자세히 보기]를 클릭한다.</t>
  </si>
  <si>
    <t>- 4개 영역 모두 [자세히 보기]만 노출되고 [설정하기]는 노출되지 않음 확인
- [자세히 보기] 클릭 시 Shops 관리 탭으로 이동 확인</t>
  </si>
  <si>
    <t>FBE_001</t>
  </si>
  <si>
    <t>부가서비스 &gt; 채널 &gt; Meta 비즈니스 &gt; 연결 관리 / 상품 피드 / 광고 관리</t>
  </si>
  <si>
    <t>미연동 안내 화면</t>
  </si>
  <si>
    <t>1. 연결 관리 탭에 진입한다.
2. 상품 피드 탭에 진입한다.
3. 광고 관리 탭에 진입한다.</t>
  </si>
  <si>
    <t>- 연결 관리에 최초 연동 가이드와 [Facebook Business Extension 시작하기] 노출 확인
- 상품 피드·광고 관리에 기능 영역 없이 안내 문구와 [비즈니스 자산 설정하기]만 노출 확인</t>
  </si>
  <si>
    <t>FBE_002</t>
  </si>
  <si>
    <t>부가서비스 &gt; 채널 &gt; Meta 비즈니스 &gt; 연결 관리</t>
  </si>
  <si>
    <t>FBE_003</t>
  </si>
  <si>
    <t>Meta 팝업(Embedded Signup) 연동 완료</t>
  </si>
  <si>
    <t>- 주운영자 로그인 상태
- FBE 연동 이력이 없는 상점
- 비즈니스 포트폴리오·페이지·카탈로그·광고 계정·픽셀을 보유한 테스트용 Meta 비즈니스 계정</t>
  </si>
  <si>
    <t>- 팝업 종료 후 연결 관리가 연동 완료 화면으로 전환 확인
- 비즈니스 자산 연동 정보에 페이스북 계정·비즈니스 관리자·페이지·픽셀 정보·인스타그램 계정 노출 확인
- 상품 카테고리 매칭 모달 자동 노출 확인</t>
  </si>
  <si>
    <t>FBE_004</t>
  </si>
  <si>
    <t>비즈니스 자산 연동 정보 &gt; 커머스 계정 행</t>
  </si>
  <si>
    <t>- 주운영자 로그인 상태
- FBE 연동 완료 상점(비즈니스 관리자·페이지·픽셀·카탈로그·광고 계정 연결)</t>
  </si>
  <si>
    <t>1. 연결 관리 탭에 진입한다.
2. 비즈니스 자산 연동 정보 영역의 항목명을 확인한다.</t>
  </si>
  <si>
    <t>- 커머스 계정 행과 '커머스 관리자 바로가기'가 노출되지 않음 확인
- 연동 완료 화면이 유지됨 확인</t>
  </si>
  <si>
    <t>FBE_005</t>
  </si>
  <si>
    <t>비즈니스 자산 연동 정보 &gt; 인스타그램 계정</t>
  </si>
  <si>
    <t>- 주운영자 로그인 상태
- FBE 연동 이력이 없는 상점
- Instagram 계정이 없는 테스트용 Meta 비즈니스 계정</t>
  </si>
  <si>
    <t>- 연동 완료 화면으로 전환 확인
- 인스타그램 계정에 '미연결' 노출, '인스타그램 설정 바로가기' 미노출 확인</t>
  </si>
  <si>
    <t>FBE_006</t>
  </si>
  <si>
    <t>Meta 팝업 중간 닫기</t>
  </si>
  <si>
    <t>- 연결 관리가 최초 연동 가이드 화면을 유지 확인
- 상품 피드·광고 관리 탭이 안내 화면을 유지 확인(연동 정보 미저장)</t>
  </si>
  <si>
    <t>FBE_007</t>
  </si>
  <si>
    <t>Meta 팝업 필수 자산 누락</t>
  </si>
  <si>
    <t>- 주운영자 로그인 상태
- FBE 연동 이력이 없는 상점
- 카탈로그가 없는 테스트용 Meta 비즈니스 계정</t>
  </si>
  <si>
    <t>- 연동 완료로 전환되지 않고 최초 연동 가이드 화면 유지 확인
- 일부 수신한 자산 정보가 화면에 노출되지 않음 확인</t>
  </si>
  <si>
    <t>FBE_008</t>
  </si>
  <si>
    <t>Meta 팝업 진행 중 관리자 화면 새로고침</t>
  </si>
  <si>
    <t>- 관리자 화면이 최초 연동 가이드 화면으로 표시 확인
- 연동 완료 상태로 저장되지 않음 확인</t>
  </si>
  <si>
    <t>FBE_009</t>
  </si>
  <si>
    <t>비즈니스 자산 연동 정보 &gt; [설정]</t>
  </si>
  <si>
    <t>1. 비즈니스 자산 연동 정보 영역의 [설정]을 클릭한다.
2. Meta 팝업에서 자산 변경 없이 [완료]를 클릭한다.</t>
  </si>
  <si>
    <t>- 개인정보 동의 팝업 없이 Meta 팝업이 바로 열림 확인
- 완료 후 자산 정보 영역이 다시 조회되고 상품 카테고리 매칭 모달은 자동 노출되지 않음 확인</t>
  </si>
  <si>
    <t>CON_001</t>
  </si>
  <si>
    <t>비즈니스 자산 연동 정보 &gt; 바로가기 링크</t>
  </si>
  <si>
    <t>1. [비즈니스 관리자 바로가기]를 클릭한다.
2. [페이지 바로가기]를 클릭한다.
3. [이벤트 관리자 바로가기]를 클릭한다.</t>
  </si>
  <si>
    <t>- 각 링크가 새 탭으로 열림 확인
- 비즈니스 관리자·이벤트 관리자 URL에 business_id 포함, 페이지 URL(facebook.com/{page_id})에는 business_id 미포함 확인
- 자산 정보 항목에 수정 입력란이 없음 확인</t>
  </si>
  <si>
    <t>CON_002</t>
  </si>
  <si>
    <t>비즈니스 자산 연동 정보 &gt; 확인불가 표시</t>
  </si>
  <si>
    <t>- 주운영자 로그인 상태
- FBE 연동 완료 상점(비즈니스 관리자·페이지·픽셀·카탈로그·광고 계정 연결)
- Meta 비즈니스 관리자에서 메이크샵 앱의 페이지 권한을 회수한 상태</t>
  </si>
  <si>
    <t>1. 연결 관리 탭에 진입한다.</t>
  </si>
  <si>
    <t>- 페이지 항목에 '확인불가'와 권한 재승인·재설정 안내 노출, [페이지 바로가기] 미노출 확인
- 비즈니스 관리자·픽셀 정보 등 다른 자산은 정상 노출 확인</t>
  </si>
  <si>
    <t>CON_003</t>
  </si>
  <si>
    <t>부가서비스 &gt; 채널 &gt; Meta 비즈니스 &gt; 연결 관리 / 상품 피드</t>
  </si>
  <si>
    <t>비즈니스 자산 연동 정보 &gt; [설정] 카탈로그 변경</t>
  </si>
  <si>
    <t>- 주운영자 로그인 상태
- FBE 연동 완료 상점(비즈니스 관리자·페이지·픽셀·카탈로그·광고 계정 연결)
- 활동중 상품 10건
- 같은 비즈니스 포트폴리오에 다른 카탈로그 1개 보유</t>
  </si>
  <si>
    <t>1. 비즈니스 자산 연동 정보 영역의 [설정]을 클릭한다.
2. Meta 팝업 카탈로그 단계에서 다른 카탈로그를 선택하고 [완료]를 클릭한다.
3. 상품 피드 탭에 진입한다.</t>
  </si>
  <si>
    <t>- 기존 활동중 상품 10건이 반영대기로 표시 확인
- 전송 큐 처리 후 새 카탈로그로 전송되어 검토중으로 변경 확인
- 새 카탈로그에 같은 상품이 중복 생성되지 않음 확인(retailer_id 동일)</t>
  </si>
  <si>
    <t>CON_004</t>
  </si>
  <si>
    <t>비즈니스 자산 연동 정보 &gt; [연결 해제] &gt; [확인]</t>
  </si>
  <si>
    <t>1. [연결 해제]를 클릭한다.
2. 컨펌에서 [확인]을 클릭한다.</t>
  </si>
  <si>
    <t>- 컨펌 '연결을 해제하면 Meta 상품 피드 동기화, 광고 계정 조회 및 전환 추적 기능이 중단됩니다. 이미 Meta에 전달된 정보의 삭제는 Meta 정책에 따릅니다. 연결을 해제하시겠습니까?' 노출 확인
- [확인] 클릭 시 연결 관리가 최초 연동 가이드 화면으로 전환 확인
- 상품 피드·광고 관리·Shops 관리 탭이 안내 화면으로 전환 확인</t>
  </si>
  <si>
    <t>CON_005</t>
  </si>
  <si>
    <t>비즈니스 자산 연동 정보 &gt; [연결 해제] &gt; [취소]</t>
  </si>
  <si>
    <t>1. [연결 해제]를 클릭한다.
2. 컨펌에서 [취소]를 클릭한다.</t>
  </si>
  <si>
    <t>- 컨펌이 닫히고 연동 완료 화면과 자산 정보가 그대로 유지 확인</t>
  </si>
  <si>
    <t>CON_006</t>
  </si>
  <si>
    <t>[연결 해제] 실패 얼럿(통신·서버 오류)</t>
  </si>
  <si>
    <t>- 주운영자 로그인 상태
- FBE 연동 완료 상점(비즈니스 관리자·페이지·픽셀·카탈로그·광고 계정 연결)
- Meta 연동 해제 API가 서버 오류를 반환하도록 설정된 테스트 환경</t>
  </si>
  <si>
    <t>- '연결 해제에 실패했습니다. 잠시 후 다시 시도해 주세요.' 얼럿 노출 확인
- 얼럿 닫은 후 연동 완료 화면 유지 확인</t>
  </si>
  <si>
    <t>CON_007</t>
  </si>
  <si>
    <t>[연결 해제] 실패 얼럿(인증·권한 오류)</t>
  </si>
  <si>
    <t>- 주운영자 로그인 상태
- FBE 연동 완료 상점(비즈니스 관리자·페이지·픽셀·카탈로그·광고 계정 연결)
- 저장된 Meta 액세스 토큰이 만료된 상태</t>
  </si>
  <si>
    <t>- '연결 해제 권한이 만료되었습니다. 다시 로그인 후 시도해 주세요.' 얼럿 노출 확인
- 얼럿 닫은 후 연동 완료 화면 유지 확인</t>
  </si>
  <si>
    <t>CON_008</t>
  </si>
  <si>
    <t>[연결 해제] 컨펌 [확인] 중복 클릭</t>
  </si>
  <si>
    <t>1. [연결 해제]를 클릭한다.
2. 컨펌의 [확인]을 빠르게 2회 클릭한다.</t>
  </si>
  <si>
    <t>- 해제 처리가 1회만 실행되고 최초 연동 가이드 화면으로 1회 전환 확인
- 실패 얼럿이 추가로 노출되지 않음 확인</t>
  </si>
  <si>
    <t>CON_009</t>
  </si>
  <si>
    <t>도메인 인증 안내 영역</t>
  </si>
  <si>
    <t>- 주운영자 로그인 상태
- FBE 연동 완료 상점(비즈니스 관리자·페이지·픽셀·카탈로그·광고 계정 연결)
- 쇼핑몰 도메인이 Meta 비즈니스 관리자에서 미인증 상태</t>
  </si>
  <si>
    <t>1. 연결 관리 탭에 진입한다.
2. [Meta 비즈니스 관리자 바로가기]를 클릭한다.</t>
  </si>
  <si>
    <t>- 도메인 인증 안내 영역(비즈니스 관리자 접속·도메인 등록·소유권 인증 3단계) 노출 확인
- 링크 클릭 시 business.facebook.com/settings/owned-domains 화면이 새 탭으로 열림 확인</t>
  </si>
  <si>
    <t>CON_010</t>
  </si>
  <si>
    <t>도메인 인증 안내 영역 미노출</t>
  </si>
  <si>
    <t>- 주운영자 로그인 상태
- FBE 연동 완료 상점(비즈니스 관리자·페이지·픽셀·카탈로그·광고 계정 연결)
- 쇼핑몰 도메인이 Meta 비즈니스 관리자에서 인증 완료 상태</t>
  </si>
  <si>
    <t>- 도메인 인증 안내 영역이 노출되지 않음 확인</t>
  </si>
  <si>
    <t>CON_011</t>
  </si>
  <si>
    <t>상품 피드 영역 &gt; 카탈로그 연동 상품 (?)</t>
  </si>
  <si>
    <t>- 주운영자 로그인 상태
- FBE 연동 완료 상점(비즈니스 관리자·페이지·픽셀·카탈로그·광고 계정 연결)
- 활동중·검토중·미승인·노출제한·사용안함·반영대기 상품 각 1건 이상</t>
  </si>
  <si>
    <t>1. 연결 관리의 상품 피드 영역을 확인한다.
2. 카탈로그 연동 상품 옆 (?) 아이콘을 클릭한다.</t>
  </si>
  <si>
    <t>- 상품개수, 최근 업데이트 일시, 6개 상태 요약 바와 범례(활동중·검토중·미승인·노출제한·사용안함·반영대기) 노출 확인
- 툴팁에 '반영대기 : Meta 상품 피드에 현재 반영 대기 중' 설명 노출, '미전송' 미노출 확인</t>
  </si>
  <si>
    <t>MAT_001</t>
  </si>
  <si>
    <t>상품 카테고리 매칭 모달 &gt; [상품 피드 반영]</t>
  </si>
  <si>
    <t>- 주운영자 로그인 상태
- FBE 연동 완료 상점(비즈니스 관리자·페이지·픽셀·카탈로그·광고 계정 연결)
- 최하위 카테고리 A·B에 노출제한 조건이 없는 상품이 각 3건</t>
  </si>
  <si>
    <t>1. 상품 피드 영역의 [상품 카테고리 매칭]을 클릭한다.
2. 카테고리 A에만 페이스북 카테고리를 선택한다.
3. [상품 피드 반영]을 클릭한다.</t>
  </si>
  <si>
    <t>- 모달 하단 버튼이 [다음에 반영]·[상품 피드 반영]이며 [저장] 미노출 확인
- '선택한 카테고리가 상품 피드에 반영되었습니다.' 얼럿 노출 후 모달 닫힘 확인
- 상품 피드에서 카테고리 A 상품 3건은 반영대기, 카테고리 B 상품 3건은 노출제한 확인</t>
  </si>
  <si>
    <t>MAT_002</t>
  </si>
  <si>
    <t>상품 카테고리 매칭 모달 &gt; [다음에 반영]</t>
  </si>
  <si>
    <t>- 주운영자 로그인 상태
- FBE 연동 완료 상점(비즈니스 관리자·페이지·픽셀·카탈로그·광고 계정 연결)
- 페이스북 카테고리가 미선택인 최하위 카테고리 1개 이상</t>
  </si>
  <si>
    <t>1. [상품 카테고리 매칭]을 클릭한다.
2. [다음에 반영]을 클릭한다.
3. 컨펌에서 [확인]을 클릭한다.</t>
  </si>
  <si>
    <t>- 컨펌 '카테고리를 매칭하지 않은 상품은 피드에서 제외되어 Meta에 노출되지 않습니다. 다음에 반영하시겠습니까?' 노출 확인
- [확인] 클릭 시 매칭값 저장 없이 모달 닫힘 확인</t>
  </si>
  <si>
    <t>MAT_003</t>
  </si>
  <si>
    <t>상품 카테고리 매칭 모달 &gt; [다음에 반영] 컨펌 [취소]</t>
  </si>
  <si>
    <t>1. [상품 카테고리 매칭]을 클릭한다.
2. 카테고리 1개에 페이스북 카테고리를 선택한다.
3. [다음에 반영]을 클릭하고 컨펌에서 [취소]를 클릭한다.</t>
  </si>
  <si>
    <t>- 컨펌만 닫히고 모달과 2번에서 선택한 페이스북 카테고리 값이 유지 확인</t>
  </si>
  <si>
    <t>MAT_004</t>
  </si>
  <si>
    <t>상품 카테고리 매칭 모달 &gt; X 닫기</t>
  </si>
  <si>
    <t>1. [상품 카테고리 매칭]을 클릭한다.
2. 모달 우측 상단 X를 클릭한다.</t>
  </si>
  <si>
    <t>- [다음에 반영]과 같은 컨펌 노출 확인
- [확인] 클릭 시 저장 없이 모달 닫힘 확인</t>
  </si>
  <si>
    <t>MAT_005</t>
  </si>
  <si>
    <t>상품 카테고리 매칭 모달 &gt; 쇼핑몰 카테고리 목록</t>
  </si>
  <si>
    <t>- 주운영자 로그인 상태
- FBE 연동 완료 상점(비즈니스 관리자·페이지·픽셀·카탈로그·광고 계정 연결)
- 분류 구조: 여성의류 &gt; 아우터 &gt; 코트, 여성의류 &gt; 아우터 &gt; 패딩, 악세서리 &gt; 가방(하위 없음)</t>
  </si>
  <si>
    <t>1. [상품 카테고리 매칭]을 클릭한다.
2. 쇼핑몰 카테고리 목록을 확인한다.</t>
  </si>
  <si>
    <t>- '여성의류 &gt; 아우터 &gt; 코트', '여성의류 &gt; 아우터 &gt; 패딩', '악세서리 &gt; 가방' 3개 행만 노출 확인
- 하위 분류가 있는 '여성의류', '여성의류 &gt; 아우터'는 행으로 노출되지 않음 확인</t>
  </si>
  <si>
    <t>MAT_006</t>
  </si>
  <si>
    <t>상품 카테고리 매칭 모달 &gt; 페이스북 카테고리 기본값</t>
  </si>
  <si>
    <t>- 주운영자 로그인 상태
- FBE 연동 완료 상점(비즈니스 관리자·페이지·픽셀·카탈로그·광고 계정 연결)
- 구글 쇼핑 상품 피드에서 카테고리 C에 GPC를 설정한 상태
- 카테고리 D는 GPC 없음</t>
  </si>
  <si>
    <t>1. [상품 카테고리 매칭]을 클릭한다.
2. 카테고리 C, D의 페이스북 카테고리 값을 확인한다.</t>
  </si>
  <si>
    <t>- 카테고리 C에 구글 쇼핑 상품 피드와 같은 GPC가 선택되어 있음 확인
- 카테고리 D는 '카테고리를 선택해주세요' 노출 확인</t>
  </si>
  <si>
    <t>MAT_007</t>
  </si>
  <si>
    <t>상품 카테고리 매칭 모달 &gt; [상품 피드 반영] 중복 클릭</t>
  </si>
  <si>
    <t>- 주운영자 로그인 상태
- FBE 연동 완료 상점(비즈니스 관리자·페이지·픽셀·카탈로그·광고 계정 연결)
- 최하위 카테고리 A에 노출제한 조건이 없는 상품 3건</t>
  </si>
  <si>
    <t>1. [상품 카테고리 매칭]을 클릭한다.
2. 카테고리 A에 페이스북 카테고리를 선택한다.
3. [상품 피드 반영]을 빠르게 2회 클릭한다.</t>
  </si>
  <si>
    <t>- 반영 얼럿이 1회만 노출 확인
- 상품 피드에서 카테고리 A 상품 3건이 각각 1건씩만 반영대기로 표시되고 Meta에 중복 등록되지 않음 확인</t>
  </si>
  <si>
    <t>PRD_001</t>
  </si>
  <si>
    <t>부가서비스 &gt; 채널 &gt; Meta 비즈니스 &gt; 상품 피드</t>
  </si>
  <si>
    <t>선택 상품 카테고리 매칭 팝업 &gt; [상품 피드 반영]</t>
  </si>
  <si>
    <t>- 주운영자 로그인 상태
- FBE 연동 완료 상점(비즈니스 관리자·페이지·픽셀·카탈로그·광고 계정 연결)
- 활동중 상품 1건</t>
  </si>
  <si>
    <t>1. 해당 상품 행의 [상세]를 클릭한다.
2. 페이스북 카테고리를 다른 GPC로 변경한다.
3. [상품 피드 반영]을 클릭한다.</t>
  </si>
  <si>
    <t>- 팝업 하단 버튼이 [취소]·[상품 피드 반영]이며 [저장] 미노출 확인
- '선택한 상품이 상품 피드에 반영되었습니다.' 얼럿 노출 확인
- 해당 상품이 반영대기로 표시된 뒤 전송 큐 처리 후 검토중으로 변경 확인</t>
  </si>
  <si>
    <t>PRD_002</t>
  </si>
  <si>
    <t>상품 피드 목록 &gt; [선택 수정]</t>
  </si>
  <si>
    <t>- 주운영자 로그인 상태
- FBE 연동 완료 상점(비즈니스 관리자·페이지·픽셀·카탈로그·광고 계정 연결)
- 상품 피드 목록에 상품 1건 이상</t>
  </si>
  <si>
    <t>1. 상품을 체크하지 않은 상태로 [선택 수정]을 클릭한다.</t>
  </si>
  <si>
    <t>- '선택된 상품이 없습니다.' 얼럿 노출 확인
- 선택 상품 카테고리 매칭 팝업이 열리지 않음 확인</t>
  </si>
  <si>
    <t>PRD_003</t>
  </si>
  <si>
    <t>상품 피드 목록 &gt; [선택 수정] 다건</t>
  </si>
  <si>
    <t>- 주운영자 로그인 상태
- FBE 연동 완료 상점(비즈니스 관리자·페이지·픽셀·카탈로그·광고 계정 연결)
- 활동중 상품 3건</t>
  </si>
  <si>
    <t>1. 상품 3건을 체크한다.
2. [선택 수정]을 클릭한다.
3. 3건의 성별을 '여성'으로 변경하고 [상품 피드 반영]을 클릭한다.</t>
  </si>
  <si>
    <t>- 팝업에 체크한 상품 3건만 노출 확인
- 반영 후 3건 모두 반영대기로 표시 확인</t>
  </si>
  <si>
    <t>PRD_004</t>
  </si>
  <si>
    <t>선택 상품 카테고리 매칭 팝업 &gt; 페이스북 카테고리 미선택 반영</t>
  </si>
  <si>
    <t>- 주운영자 로그인 상태
- FBE 연동 완료 상점(비즈니스 관리자·페이지·픽셀·카탈로그·광고 계정 연결)
- 페이스북 카테고리가 없는 상품 1건</t>
  </si>
  <si>
    <t>1. 해당 상품 행의 [상세]를 클릭한다.
2. 사용여부 ON 상태에서 페이스북 카테고리를 선택하지 않는다.
3. [상품 피드 반영]을 클릭한다.</t>
  </si>
  <si>
    <t>- '상품 피드를 사용하려면 페이스북 카테고리를 선택해 주세요.' 얼럿 노출 확인
- 반영되지 않고 팝업 유지 확인</t>
  </si>
  <si>
    <t>PRD_005</t>
  </si>
  <si>
    <t>선택 상품 카테고리 매칭 팝업 &gt; 성별·연령대</t>
  </si>
  <si>
    <t>1. 해당 상품 행의 [상세]를 클릭한다.
2. 페이스북 카테고리를 '의류 및 액세서리' 하위 GPC로 선택한다.
3. 페이스북 카테고리를 비의류 GPC로 변경한다.</t>
  </si>
  <si>
    <t>- 의류 GPC 선택 시 성별·연령대 드롭다운이 활성화되고 기본값 '남녀공용'·'전연령' 선택 확인
- 비의류 GPC로 변경 시 성별·연령대 드롭다운 비활성 확인</t>
  </si>
  <si>
    <t>PRD_006</t>
  </si>
  <si>
    <t>선택 상품 카테고리 매칭 팝업 &gt; 사용여부 OFF</t>
  </si>
  <si>
    <t>1. 해당 상품 행의 [상세]를 클릭한다.
2. 사용여부 토글을 OFF로 변경한다.
3. [상품 피드 반영]을 클릭한다.</t>
  </si>
  <si>
    <t>- OFF 변경 시 페이스북 카테고리·성별·연령대 입력 비활성 확인
- 반영 후 해당 상품이 사용안함 탭에서 조회 확인</t>
  </si>
  <si>
    <t>PRD_007</t>
  </si>
  <si>
    <t>부가서비스 &gt; 채널 &gt; Meta 비즈니스 &gt; 상품 피드 / 연결 관리</t>
  </si>
  <si>
    <t>상품 단위 GPC 우선 적용</t>
  </si>
  <si>
    <t>- 주운영자 로그인 상태
- FBE 연동 완료 상점(비즈니스 관리자·페이지·픽셀·카탈로그·광고 계정 연결)
- 카테고리 A에 GPC X로 매칭된 상품 1건
- 해당 상품에 상품 단위 GPC Y 설정</t>
  </si>
  <si>
    <t>1. 연결 관리의 [상품 카테고리 매칭]을 클릭한다.
2. 카테고리 A를 GPC Z로 변경하고 [상품 피드 반영]을 클릭한다.
3. 상품 피드 목록에서 해당 상품의 페이스북 카테고리를 확인한다.</t>
  </si>
  <si>
    <t>- 해당 상품의 페이스북 카테고리가 GPC Y로 유지 확인</t>
  </si>
  <si>
    <t>PRD_008</t>
  </si>
  <si>
    <t>선택 상품 카테고리 매칭 팝업 &gt; [취소]</t>
  </si>
  <si>
    <t>1. 해당 상품 행의 [상세]를 클릭한다.
2. 페이스북 카테고리를 변경한다.
3. [취소]를 클릭한다.</t>
  </si>
  <si>
    <t>- 팝업이 닫히고 상품 상태(활동중)와 페이스북 카테고리 값이 변경되지 않음 확인</t>
  </si>
  <si>
    <t>FEED_001</t>
  </si>
  <si>
    <t>미연동 안내 &gt; [비즈니스 자산 설정하기]</t>
  </si>
  <si>
    <t>1. 상품 피드 탭에 진입한다.
2. [비즈니스 자산 설정하기]를 클릭한다.</t>
  </si>
  <si>
    <t>- 연결 관리 탭으로 이동 후 개인정보 수집 및 이용 동의 팝업 자동 노출 확인</t>
  </si>
  <si>
    <t>FEED_002</t>
  </si>
  <si>
    <t>상품 피드 등록 현황 / 상태 탭</t>
  </si>
  <si>
    <t>1. 상품 피드 탭에 진입한다.</t>
  </si>
  <si>
    <t>- 상태 탭이 전체·활동중·검토중·미승인·노출제한·사용안함·반영대기 순서로 노출되고 탭마다 건수 노출 확인
- '미전송' 탭·범례 미노출 확인
- 최초 진입 시 전체 탭 선택 확인</t>
  </si>
  <si>
    <t>FEED_003</t>
  </si>
  <si>
    <t>반영대기 탭</t>
  </si>
  <si>
    <t>- 주운영자 로그인 상태
- FBE 연동 완료 상점(비즈니스 관리자·페이지·픽셀·카탈로그·광고 계정 연결)
- 반영대기 상품 2건</t>
  </si>
  <si>
    <t>1. [반영대기] 탭을 클릭한다.</t>
  </si>
  <si>
    <t>- 반영대기 상품 2건만 노출 확인
- 컬럼이 상품정보·연동 상품 수·가격·페이스북 카테고리·관리로 노출 확인
- 목록 하단에 [선택 수정]만 노출되고 전송·재전송 버튼 미노출 확인</t>
  </si>
  <si>
    <t>FEED_004</t>
  </si>
  <si>
    <t>미승인 탭 &gt; 사유 컬럼</t>
  </si>
  <si>
    <t>- 주운영자 로그인 상태
- FBE 연동 완료 상점(비즈니스 관리자·페이지·픽셀·카탈로그·광고 계정 연결)
- Meta에서 INVALID_IMAGE 사유로 거부된 미승인 상품 1건</t>
  </si>
  <si>
    <t>1. [미승인] 탭을 클릭한다.</t>
  </si>
  <si>
    <t>- 사유 컬럼에 '이미지 형식이 올바르지 않습니다. 이미지를 다시 등록해 주세요.' 노출 확인</t>
  </si>
  <si>
    <t>FEED_005</t>
  </si>
  <si>
    <t>노출제한 탭 &gt; 사유 컬럼</t>
  </si>
  <si>
    <t>- 주운영자 로그인 상태
- FBE 연동 완료 상점(비즈니스 관리자·페이지·픽셀·카탈로그·광고 계정 연결)
- 카테고리 매칭 완료 상품 중 판매가 0원 상품 1건, 품절 상품 1건</t>
  </si>
  <si>
    <t>1. [노출제한] 탭을 클릭한다.</t>
  </si>
  <si>
    <t>- 판매가 0원 상품에 '판매가가 0원입니다. 정상 판매가를 입력해 주세요.' 노출 확인
- 품절 상품에 '품절 상품입니다.' 노출 확인</t>
  </si>
  <si>
    <t>FEED_006</t>
  </si>
  <si>
    <t>사용안함 탭 &gt; 컬럼 구성</t>
  </si>
  <si>
    <t>- 주운영자 로그인 상태
- FBE 연동 완료 상점(비즈니스 관리자·페이지·픽셀·카탈로그·광고 계정 연결)
- 사용안함 상품 1건</t>
  </si>
  <si>
    <t>1. [사용안함] 탭을 클릭한다.</t>
  </si>
  <si>
    <t>- 컬럼이 상품정보·연동 상품 수·가격·관리로 노출되고 사유·페이스북 카테고리 컬럼 미노출 확인</t>
  </si>
  <si>
    <t>FEED_007</t>
  </si>
  <si>
    <t>상품 피드 목록 &gt; 검색어</t>
  </si>
  <si>
    <t>- 주운영자 로그인 상태
- FBE 연동 완료 상점(비즈니스 관리자·페이지·픽셀·카탈로그·광고 계정 연결)
- 상품명에 '코트'가 포함된 상품: 활동중 2건, 노출제한 1건</t>
  </si>
  <si>
    <t>1. [활동중] 탭을 클릭한다.
2. 검색어에 '코트'를 입력하고 Enter를 누른다.</t>
  </si>
  <si>
    <t>- 활동중 탭이 유지된 채 '코트' 포함 활동중 상품 2건만 노출 확인
- 탭 건수가 검색 결과 기준(활동중 2, 노출제한 1)으로 변경 확인</t>
  </si>
  <si>
    <t>FEED_008</t>
  </si>
  <si>
    <t>상품 피드 목록 &gt; 검색 결과 0건</t>
  </si>
  <si>
    <t>1. 검색어에 존재하지 않는 상품명 'zzqq테스트없음'을 입력하고 Enter를 누른다.</t>
  </si>
  <si>
    <t>- 목록에 '표시할 상품이 없습니다.' 노출 확인
- 모든 탭 건수 0 표시 확인</t>
  </si>
  <si>
    <t>FEED_009</t>
  </si>
  <si>
    <t>상품 피드 목록 &gt; 페이지당 노출 개수</t>
  </si>
  <si>
    <t>- 주운영자 로그인 상태
- FBE 연동 완료 상점(비즈니스 관리자·페이지·픽셀·카탈로그·광고 계정 연결)
- 상품 41건 이상</t>
  </si>
  <si>
    <t>1. 목록 하단 페이지네이션에서 2를 클릭한다.
2. 노출 개수 드롭다운에서 '30개씩 보기'를 선택한다.</t>
  </si>
  <si>
    <t>- 드롭다운 기본값 '20개씩 보기', 선택값 20·30·50·70·100개 확인
- 개수 변경 시 1페이지부터 30건 노출 확인</t>
  </si>
  <si>
    <t>FEED_010</t>
  </si>
  <si>
    <t>상품 피드 목록 &gt; 승인상태(카테고리 미설정)</t>
  </si>
  <si>
    <t>- 주운영자 로그인 상태
- FBE 연동 완료 상점(비즈니스 관리자·페이지·픽셀·카탈로그·광고 계정 연결)
- 사용여부 ON, 페이스북 카테고리 미설정, 다른 노출제한 조건이 없는 상품 1건</t>
  </si>
  <si>
    <t>1. [전체] 탭에서 해당 상품의 승인상태를 확인한다.
2. [노출제한] 탭을 클릭한다.</t>
  </si>
  <si>
    <t>- 승인상태 '노출제한', 사유 '페이스북 카테고리가 설정되지 않았습니다. 페이스북 카테고리를 설정해 주세요.' 노출 확인
- [사용안함] 탭에는 노출되지 않음 확인</t>
  </si>
  <si>
    <t>FEED_011</t>
  </si>
  <si>
    <t>상품 피드 목록 &gt; 승인상태 우선순위</t>
  </si>
  <si>
    <t>- 주운영자 로그인 상태
- FBE 연동 완료 상점(비즈니스 관리자·페이지·픽셀·카탈로그·광고 계정 연결)
- 사용여부 OFF이면서 판매가 0원인 상품 1건</t>
  </si>
  <si>
    <t>1. [전체] 탭에서 해당 상품의 승인상태를 확인한다.</t>
  </si>
  <si>
    <t>- 승인상태 '사용안함' 노출 확인(노출제한보다 우선)</t>
  </si>
  <si>
    <t>FEED_012</t>
  </si>
  <si>
    <t>상품 &gt; 상품 수정 / 부가서비스 &gt; 채널 &gt; Meta 비즈니스 &gt; 상품 피드</t>
  </si>
  <si>
    <t>옵션 조합 300개 경계값</t>
  </si>
  <si>
    <t>- 주운영자 로그인 상태
- FBE 연동 완료 상점(비즈니스 관리자·페이지·픽셀·카탈로그·광고 계정 연결)
- 카테고리 매칭 완료, 옵션 조합 300개인 활동중 상품 1건</t>
  </si>
  <si>
    <t>1. 상품 수정에서 옵션 조합을 301개로 변경하고 [저장]을 클릭한다.
2. 상품 피드 [노출제한] 탭에서 해당 상품을 확인한다.
3. 옵션 조합을 300개로 변경하고 [저장]을 클릭한다.
4. 상품 피드에서 해당 상품을 확인한다.</t>
  </si>
  <si>
    <t>- 301개 저장 후 노출제한, 사유 '전송 가능한 옵션 에디션 수를 초과한 상품입니다. 옵션 조합 수를 300개 이하로 조정해 주세요.' 노출 확인
- 300개 저장 후 반영대기로 변경 확인</t>
  </si>
  <si>
    <t>FEED_013</t>
  </si>
  <si>
    <t>상품 피드 등록 현황 &gt; [Meta Catalog 바로가기]</t>
  </si>
  <si>
    <t>1. [Meta Catalog 바로가기]를 클릭한다.</t>
  </si>
  <si>
    <t>- business.facebook.com/commerce/catalogs/{catalog_id}/products?business_id={business_id} 화면이 새 탭으로 열림 확인</t>
  </si>
  <si>
    <t>FEED_014</t>
  </si>
  <si>
    <t>상품 피드 목록 &gt; 직접 등록 상품 제외</t>
  </si>
  <si>
    <t>- 주운영자 로그인 상태
- FBE 연동 완료 상점(비즈니스 관리자·페이지·픽셀·카탈로그·광고 계정 연결)
- 메이크샵 연동 상품 10건
- Meta Commerce Manager에서 메이크샵 상품번호와 다른 ID로 직접 등록한 상품 2건</t>
  </si>
  <si>
    <t>1. 상품 피드 탭에 진입한다.
2. [전체] 탭 건수를 확인한다.</t>
  </si>
  <si>
    <t>- [전체] 건수 10, 목록에 직접 등록 상품 2건 미노출 확인</t>
  </si>
  <si>
    <t>SYNC_001</t>
  </si>
  <si>
    <t>전송 큐 자동 전송</t>
  </si>
  <si>
    <t>1. [반영대기] 탭에서 상품 2건을 확인한다.
2. 전송 큐 처리 완료 후 [검토중] 탭을 클릭한다.</t>
  </si>
  <si>
    <t>- 운영자 조작 없이 2건이 [검토중] 탭으로 이동 확인
- [반영대기] 탭 건수 0 확인</t>
  </si>
  <si>
    <t>SYNC_002</t>
  </si>
  <si>
    <t>Meta 처리 결과 반영</t>
  </si>
  <si>
    <t>- 주운영자 로그인 상태
- FBE 연동 완료 상점(비즈니스 관리자·페이지·픽셀·카탈로그·광고 계정 연결)
- 검토중 상품 2건(정상 상품 1건, 이미지 형식 오류 상품 1건)</t>
  </si>
  <si>
    <t>1. Meta 처리 결과 반영 후 [활동중] 탭을 클릭한다.
2. [미승인] 탭을 클릭한다.</t>
  </si>
  <si>
    <t>- 정상 상품은 [활동중], 이미지 오류 상품은 [미승인] 탭에서 조회 확인
- [확인 필요] OPEN-005: Meta 결과 조회 주기·트리거 결정 후 대기 시간 기준 추가</t>
  </si>
  <si>
    <t>SYNC_003</t>
  </si>
  <si>
    <t>전송 시점 재판정</t>
  </si>
  <si>
    <t>- 주운영자 로그인 상태
- FBE 연동 완료 상점(비즈니스 관리자·페이지·픽셀·카탈로그·광고 계정 연결)
- 전송 큐 처리 전인 반영대기 상품 1건</t>
  </si>
  <si>
    <t>1. 상품 수정에서 해당 상품 판매가를 0원으로 변경하고 [저장]을 클릭한다.
2. 상품 피드에서 해당 상품을 확인한다.</t>
  </si>
  <si>
    <t>- Meta로 전송되지 않고 노출제한, 사유 '판매가가 0원입니다. 정상 판매가를 입력해 주세요.' 노출 확인</t>
  </si>
  <si>
    <t>SYNC_004</t>
  </si>
  <si>
    <t>상품 &gt; 상품 수정</t>
  </si>
  <si>
    <t>전송 전 다중 수정</t>
  </si>
  <si>
    <t>- 주운영자 로그인 상태
- FBE 연동 완료 상점(비즈니스 관리자·페이지·픽셀·카탈로그·광고 계정 연결)
- 전송 큐 처리 전인 반영대기 상품 1건(상품명 '울 코트')</t>
  </si>
  <si>
    <t>1. 상품명을 '울 코트 A'로 변경하고 [저장]을 클릭한다.
2. 상품명을 '울 코트 B'로 변경하고 [저장]을 클릭한다.
3. 상품명을 '울 코트 C'로 변경하고 [저장]을 클릭한다.</t>
  </si>
  <si>
    <t>- 전송 큐 처리 후 Meta 카탈로그 상품명이 '울 코트 C'로 1회 반영 확인
- 'A', 'B' 상품명이 개별 전송되지 않음 확인(전송 이력 1건)</t>
  </si>
  <si>
    <t>SYNC_005</t>
  </si>
  <si>
    <t>상품 수정 자동 반영</t>
  </si>
  <si>
    <t>1. 상품 수정에서 상품명을 변경하고 [저장]을 클릭한다.
2. 상품 피드에서 해당 상품을 확인한다.</t>
  </si>
  <si>
    <t>- 해당 상품이 반영대기로 표시된 뒤 별도 조작 없이 검토중으로 변경 확인</t>
  </si>
  <si>
    <t>SYNC_006</t>
  </si>
  <si>
    <t>상품 &gt; 상품 일괄 관리 &gt; 엑셀 업로드 / 부가서비스 &gt; 채널 &gt; Meta 비즈니스 &gt; 상품 피드</t>
  </si>
  <si>
    <t>엑셀 일괄 수정 자동 반영</t>
  </si>
  <si>
    <t>1. 상품 엑셀 업로드로 3건의 판매가를 변경해 업로드한다.
2. 상품 피드에서 3건을 확인한다.</t>
  </si>
  <si>
    <t>- 3건 모두 반영대기로 표시된 뒤 검토중으로 변경 확인</t>
  </si>
  <si>
    <t>SYNC_007</t>
  </si>
  <si>
    <t>상품 &gt; 상품 관리</t>
  </si>
  <si>
    <t>상품 삭제 시 Meta item 삭제</t>
  </si>
  <si>
    <t>- 주운영자 로그인 상태
- FBE 연동 완료 상점(비즈니스 관리자·페이지·픽셀·카탈로그·광고 계정 연결)
- 활동중 상품 A, B 각 1건
- Meta Commerce Manager 직접 등록 상품 1건</t>
  </si>
  <si>
    <t>1. 상품 관리에서 상품 A를 삭제한다.
2. Meta Commerce Manager 카탈로그에서 상품을 확인한다.</t>
  </si>
  <si>
    <t>- 상품 A(retailer_id = A 상품번호)만 카탈로그에서 삭제 확인
- 상품 B와 직접 등록 상품은 유지 확인</t>
  </si>
  <si>
    <t>SYNC_008</t>
  </si>
  <si>
    <t>전송 큐 전송 실패</t>
  </si>
  <si>
    <t>- 주운영자 로그인 상태
- FBE 연동 완료 상점(비즈니스 관리자·페이지·픽셀·카탈로그·광고 계정 연결)
- Meta Catalog Batch API가 오류를 반환하도록 설정된 테스트 환경
- 반영대기 상품 1건</t>
  </si>
  <si>
    <t>1. 전송 큐 처리 후 [반영대기] 탭을 클릭한다.</t>
  </si>
  <si>
    <t>- 해당 상품이 반영대기 상태로 유지 확인
- [확인 필요] OPEN-004: 재시도 횟수와 최종 실패 시 화면 표시 결정 후 기대 결과 추가</t>
  </si>
  <si>
    <t>SYNC_009</t>
  </si>
  <si>
    <t>대량 반영 분할 전송</t>
  </si>
  <si>
    <t>- 주운영자 로그인 상태
- FBE 연동 완료 상점(비즈니스 관리자·페이지·픽셀·카탈로그·광고 계정 연결)
- 노출제한 조건이 없는 상품 12,000건이 속한 최하위 카테고리 1개</t>
  </si>
  <si>
    <t>1. [상품 카테고리 매칭]을 클릭한다.
2. 해당 카테고리에 페이스북 카테고리를 선택하고 [상품 피드 반영]을 클릭한다.
3. [반영대기]·[검토중] 탭 건수를 확인한다.</t>
  </si>
  <si>
    <t>- 반영 직후 12,000건이 반영대기로 표시되고 순차적으로 검토중 건수 증가 확인
- 전송 로그에서 배치당 5,000건 이하 분할, 429 오류로 전송 중단 없음 확인</t>
  </si>
  <si>
    <t>ADS_001</t>
  </si>
  <si>
    <t>부가서비스 &gt; 채널 &gt; Meta 비즈니스 &gt; 광고 관리</t>
  </si>
  <si>
    <t>1. 광고 관리 탭에 진입한다.
2. [비즈니스 자산 설정하기]를 클릭한다.</t>
  </si>
  <si>
    <t>- '비즈니스 자산 연동 후 광고 관리를 사용할 수 있습니다.' 안내 노출 확인
- 클릭 시 연결 관리 탭으로 이동 후 개인정보 동의 팝업 자동 노출 확인</t>
  </si>
  <si>
    <t>ADS_002</t>
  </si>
  <si>
    <t>광고 계정 정보 영역</t>
  </si>
  <si>
    <t>- 주운영자 로그인 상태
- FBE 연동 완료 상점(비즈니스 관리자·페이지·픽셀·카탈로그·광고 계정 연결)
- 후불 결제 광고 계정</t>
  </si>
  <si>
    <t>1. 광고 관리 탭에 진입한다.</t>
  </si>
  <si>
    <t>- 광고 계정명(광고 계정 ID), 계정 상태 1개, 이번달 광고 지출 노출 확인
- 잔여 크레딧에 0과 '후불' 표기 확인</t>
  </si>
  <si>
    <t>ADS_003</t>
  </si>
  <si>
    <t>캠페인 성과 요약 / 캠페인 목록 기본 조회</t>
  </si>
  <si>
    <t>- 주운영자 로그인 상태
- FBE 연동 완료 상점(비즈니스 관리자·페이지·픽셀·카탈로그·광고 계정 연결)
- 어제 운영 이력이 있는 캠페인 3건(광고 비용 서로 다름)</t>
  </si>
  <si>
    <t>- 조회기간 '어제' 기본 선택 확인
- 성과 요약 카드(노출수·클릭수·CTR·전환·광고 지출) 노출 확인
- 캠페인 목록이 광고 비용 높은 순으로 정렬 확인</t>
  </si>
  <si>
    <t>ADS_004</t>
  </si>
  <si>
    <t>조회기간 &gt; 직접 설정</t>
  </si>
  <si>
    <t>1. 조회기간에서 '직접 설정'을 선택한다.
2. 시작일 10/1, 종료일 10/10을 선택한다.
3. 시작일을 10/15로 변경한다.
4. 종료일 달력에서 내일 날짜를 확인한다.</t>
  </si>
  <si>
    <t>- 3번 후 종료일 값이 초기화 확인
- 오늘 이후 날짜는 선택 불가(비활성) 확인</t>
  </si>
  <si>
    <t>ADS_005</t>
  </si>
  <si>
    <t>캠페인 목록 &gt; 전환율·CPC</t>
  </si>
  <si>
    <t>- 주운영자 로그인 상태
- FBE 연동 완료 상점(비즈니스 관리자·페이지·픽셀·카탈로그·광고 계정 연결)
- 조회기간 내 클릭수 0인 캠페인 1건</t>
  </si>
  <si>
    <t>1. [항목]에서 전환율·CPC를 추가하고 [저장]을 클릭한다.
2. 해당 캠페인 행의 전환율·CPC를 확인한다.</t>
  </si>
  <si>
    <t>- 전환율과 CPC가 '-'로 노출 확인</t>
  </si>
  <si>
    <t>ADS_006</t>
  </si>
  <si>
    <t>캠페인 목록 &gt; 키워드 검색</t>
  </si>
  <si>
    <t>- 주운영자 로그인 상태
- FBE 연동 완료 상점(비즈니스 관리자·페이지·픽셀·카탈로그·광고 계정 연결)
- 캠페인명에 '가을'이 포함된 캠페인 2건, 미포함 1건</t>
  </si>
  <si>
    <t>1. 검색어에 '가을'을 입력하고 Enter를 누른다.</t>
  </si>
  <si>
    <t>- 목록에 '가을' 포함 캠페인 2건만 노출 확인
- [확인 필요] OPEN-002: 성과 요약 카드 갱신 여부 결정 후 기대 결과 확정</t>
  </si>
  <si>
    <t>ADS_007</t>
  </si>
  <si>
    <t>항목 설정 &gt; 항목 제외 [저장]</t>
  </si>
  <si>
    <t>1. [항목]을 클릭한다.
2. 선택한 타이틀 목록에서 '목표'를 제외한다.
3. [저장]을 클릭한다.
4. 다른 탭으로 이동 후 광고 관리 탭에 다시 진입한다.</t>
  </si>
  <si>
    <t>- 캠페인 목록에서 목표 컬럼 미노출이 재진입 후에도 유지 확인
- 항목 설정에서 '목표'가 선택 가능 목록에 노출 확인
- 캠페인명은 제외 버튼이 비활성 확인</t>
  </si>
  <si>
    <t>ADS_008</t>
  </si>
  <si>
    <t>항목 설정 &gt; [기본값으로 초기화]</t>
  </si>
  <si>
    <t>- 주운영자 로그인 상태
- FBE 연동 완료 상점(비즈니스 관리자·페이지·픽셀·카탈로그·광고 계정 연결)
- 목표 컬럼을 제외하고 저장한 상태</t>
  </si>
  <si>
    <t>1. [항목]을 클릭한다.
2. [기본값으로 초기화]를 클릭한다.
3. [저장]을 클릭한다.</t>
  </si>
  <si>
    <t>- 캠페인 목록 컬럼이 캠페인명·목표·노출수·클릭수·구매수·ROAS·매출·광고비용 순서로 복원 확인</t>
  </si>
  <si>
    <t>ADS_009</t>
  </si>
  <si>
    <t>전환 추적 설정 &gt; 구매 전환 토글</t>
  </si>
  <si>
    <t>- 주운영자 로그인 상태
- FBE 연동 완료 상점(비즈니스 관리자·페이지·픽셀·카탈로그·광고 계정 연결)
- 네이버 연동 설정에서 주문형 네이버페이 미설정
- 카카오 연동 설정에서 톡 체크아웃 연동 완료</t>
  </si>
  <si>
    <t>1. 광고 관리 탭의 전환 추적 설정 영역을 확인한다.</t>
  </si>
  <si>
    <t>- 네이버페이 구매 전환 토글 비활성 확인
- 톡 체크아웃 구매 전환 토글 활성, 기본값 '사용안함' 확인</t>
  </si>
  <si>
    <t>ADS_010</t>
  </si>
  <si>
    <t>전환 추적 설정 &gt; [저장]</t>
  </si>
  <si>
    <t>- 주운영자 로그인 상태
- FBE 연동 완료 상점(비즈니스 관리자·페이지·픽셀·카탈로그·광고 계정 연결)
- 카카오 연동 설정에서 톡 체크아웃 연동 완료</t>
  </si>
  <si>
    <t>1. 톡 체크아웃 구매 전환을 '사용'으로 변경한다.
2. [저장]을 클릭한다.
3. 다른 탭으로 이동 후 광고 관리 탭에 다시 진입한다.</t>
  </si>
  <si>
    <t>- '전환 추적 설정이 저장되었습니다.' 얼럿 노출 확인
- 재진입 시 톡 체크아웃 구매 전환 '사용' 유지 확인</t>
  </si>
  <si>
    <t>CAPI_001</t>
  </si>
  <si>
    <t>PC 샵단</t>
  </si>
  <si>
    <t>주문서 &gt; 주문 완료</t>
  </si>
  <si>
    <t>Purchase 이벤트(Pixel·CAPI)</t>
  </si>
  <si>
    <t>- 쇼핑몰 회원 로그인 상태(테스트 회원)
- Meta 비즈니스 연동 완료, CAPI 사용, 픽셀 연결
- Meta 이벤트 관리자 테스트 이벤트 화면 연결</t>
  </si>
  <si>
    <t>1. 상품을 장바구니에 담고 주문서로 이동한다.
2. PG 결제로 주문을 완료한다.
3. Meta 이벤트 관리자 테스트 이벤트에서 Purchase를 확인한다.</t>
  </si>
  <si>
    <t>- Pixel(브라우저)과 CAPI(서버) Purchase가 같은 event_id(주문 식별값)로 수신 확인
- 이벤트 관리자에 중복 제거되어 1건으로 집계 확인</t>
  </si>
  <si>
    <t>CAPI_002</t>
  </si>
  <si>
    <t>모바일 Web</t>
  </si>
  <si>
    <t>- 모바일 Web 쇼핑몰 회원 로그인 상태(테스트 회원)
- Meta 비즈니스 연동 완료, CAPI 사용, 픽셀 연결</t>
  </si>
  <si>
    <t>1. 모바일 Web에서 상품을 장바구니에 담고 주문서로 이동한다.
2. PG 결제로 주문을 완료한다.
3. Meta 이벤트 관리자 테스트 이벤트에서 Purchase를 확인한다.</t>
  </si>
  <si>
    <t>- Pixel과 CAPI Purchase가 같은 event_id로 수신되고 1건으로 집계 확인</t>
  </si>
  <si>
    <t>CAPI_003</t>
  </si>
  <si>
    <t>상품 상세 &gt; 장바구니 담기</t>
  </si>
  <si>
    <t>AddToCart 이벤트 발생 시점</t>
  </si>
  <si>
    <t>- 쇼핑몰 회원 로그인 상태(테스트 회원)
- Meta 비즈니스 연동 완료, CAPI 사용
- 품절 옵션과 판매 가능 옵션이 있는 상품</t>
  </si>
  <si>
    <t>1. 품절 옵션을 선택하고 [장바구니]를 클릭한다.
2. 판매 가능 옵션을 선택하고 [장바구니]를 클릭한다.
3. Meta 이벤트 관리자에서 AddToCart를 확인한다.</t>
  </si>
  <si>
    <t>- 1번(담기 실패)에서는 AddToCart 미수신 확인
- 2번(담기 성공)에서 AddToCart 1건 수신 확인</t>
  </si>
  <si>
    <t>CAPI_004</t>
  </si>
  <si>
    <t>상품 상세 &gt; 네이버페이 주문형</t>
  </si>
  <si>
    <t>외부 결제 Purchase 이벤트</t>
  </si>
  <si>
    <t>1. 상품 상세에서 [네이버페이 구매하기]를 클릭한다.
2. 네이버페이 주문서에서 결제를 완료한다.
3. Meta 이벤트 관리자에서 Purchase를 확인한다.</t>
  </si>
  <si>
    <t>CAPI_005</t>
  </si>
  <si>
    <t>CAPI 전송 실패 시 주문 처리</t>
  </si>
  <si>
    <t>- 쇼핑몰 회원 로그인 상태(테스트 회원)
- Meta 비즈니스 연동 완료, CAPI 사용
- Meta CAPI 엔드포인트가 오류를 반환하도록 설정된 테스트 환경</t>
  </si>
  <si>
    <t>1. 상품을 주문서로 이동해 PG 결제로 주문을 완료한다.</t>
  </si>
  <si>
    <t>- 주문 완료 화면 노출 및 관리자 주문 리스트에 해당 주문 생성 확인
- CAPI 전송 실패는 전송 로그에만 기록 확인</t>
  </si>
  <si>
    <t>CAPI_006</t>
  </si>
  <si>
    <t>API</t>
  </si>
  <si>
    <t>Meta Conversions API (POST /{pixel_id}/events) / 메이크샵 CAPI 전송 로그</t>
  </si>
  <si>
    <t>user_data 해시 처리</t>
  </si>
  <si>
    <t>- Meta 비즈니스 연동 완료, CAPI 사용
- 테스트 회원(테스트 이메일·휴대폰번호)</t>
  </si>
  <si>
    <t>1. 테스트 회원으로 PC 샵단에서 주문을 완료한다.
2. 메이크샵 CAPI 전송 로그에서 해당 이벤트 요청 본문을 확인한다.</t>
  </si>
  <si>
    <t>- user_data의 em·ph·external_id가 SHA-256 해시값으로만 전송 확인
- 전송 로그에 이메일·휴대폰번호 원문 미기록 확인</t>
  </si>
  <si>
    <t>SHOP_001</t>
  </si>
  <si>
    <t>부가서비스 &gt; 채널 &gt; Meta 비즈니스 &gt; Shops 관리</t>
  </si>
  <si>
    <t>1. Shops 관리 탭에 진입한다.
2. [비즈니스 자산 설정하기]를 클릭한다.</t>
  </si>
  <si>
    <t>- '비즈니스 자산 연동 후 Shop을 관리할 수 있습니다.' 안내 노출 확인
- 클릭 시 연결 관리 탭으로 이동 후 개인정보 동의 팝업 자동 노출 확인</t>
  </si>
  <si>
    <t>SHOP_002</t>
  </si>
  <si>
    <t>Shops 정보 &gt; Instagram Shop 카드(연결중)</t>
  </si>
  <si>
    <t>- 주운영자 로그인 상태
- FBE 연동 완료 상점(비즈니스 관리자·페이지·픽셀·카탈로그·광고 계정 연결)
- FBE 연동 시 Instagram 계정 연결</t>
  </si>
  <si>
    <t>1. Shops 관리 탭에 진입한다.</t>
  </si>
  <si>
    <t>- Instagram Shop 카드에 '@{Instagram 사용자명}'과 '연결중' 노출 확인
- Commerce Account·커머스 계정 ID 미노출 확인</t>
  </si>
  <si>
    <t>SHOP_003</t>
  </si>
  <si>
    <t>Shops 정보 &gt; Instagram Shop 카드(미연결)</t>
  </si>
  <si>
    <t>- 주운영자 로그인 상태
- FBE 연동 완료 상점(비즈니스 관리자·페이지·픽셀·카탈로그·광고 계정 연결)
- FBE 연동 시 Instagram 단계 건너뜀</t>
  </si>
  <si>
    <t>- Instagram Shop 카드에 '연결된 계정이 없습니다.'와 '미연결' 노출 확인</t>
  </si>
  <si>
    <t>SHOP_004</t>
  </si>
  <si>
    <t>Shops 정보 &gt; [커머스 관리자 바로가기]</t>
  </si>
  <si>
    <t>1. [커머스 관리자 바로가기]를 클릭한다.</t>
  </si>
  <si>
    <t>SHOP_005</t>
  </si>
  <si>
    <t>Instagram Shop &gt; [설정]</t>
  </si>
  <si>
    <t>1. Instagram Shop 카드의 [설정]을 클릭한다.</t>
  </si>
  <si>
    <t>- business.facebook.com/commerce_manager/?business_id={business_id} 화면이 새 탭으로 열림 확인</t>
  </si>
  <si>
    <t>AUTH_001</t>
  </si>
  <si>
    <t>Meta 비즈니스 연동 정보·상품 피드 조회 요청</t>
  </si>
  <si>
    <t>타 상점 데이터 접근 차단</t>
  </si>
  <si>
    <t>- 상점 A 주운영자 로그인 상태
- 상점 B가 FBE 연동 완료 상태</t>
  </si>
  <si>
    <t>1. 상점 A 세션으로 상점 B의 상점 식별값을 넣어 연동 정보 조회 요청을 보낸다.
2. 같은 방식으로 상품 피드 목록 조회 요청을 보낸다.</t>
  </si>
  <si>
    <t>- 두 요청 모두 거부되고 상점 B의 연동 정보·상품 정보가 응답에 포함되지 않음 확인</t>
  </si>
  <si>
    <t>AUTH_002</t>
  </si>
  <si>
    <t>화면 응답 데이터 &gt; 액세스 토큰</t>
  </si>
  <si>
    <t>1. 브라우저 개발자 도구 네트워크 탭을 연다.
2. 연결 관리 탭에 진입한다.
3. 화면 조회 응답 본문을 확인한다.</t>
  </si>
  <si>
    <t>- 응답 본문과 화면 HTML에 Meta 액세스 토큰 값이 포함되지 않음 확인</t>
  </si>
  <si>
    <t>AUTH_003</t>
  </si>
  <si>
    <t>Meta 권한 일부 미허용</t>
  </si>
  <si>
    <t>- 권한이 필요한 자산 항목에 '확인불가'와 권한 재승인 안내 노출 확인</t>
  </si>
  <si>
    <t>AUTH_004</t>
  </si>
  <si>
    <t>부가서비스 &gt; 채널 &gt; Meta 비즈니스</t>
  </si>
  <si>
    <t>부운영자 메뉴 접근</t>
  </si>
  <si>
    <t>- Meta 비즈니스(채널) 메뉴 권한이 없는 부운영자 로그인 상태</t>
  </si>
  <si>
    <t>1. 부가서비스 &gt; 채널 메뉴에 진입한다.
2. 브라우저 주소창에 Meta 비즈니스 연결 관리 URL을 직접 입력한다.</t>
  </si>
  <si>
    <t>- 접근 제한 안내 노출 및 연동 정보·상품 피드 미조회 확인
- [확인 필요] 부운영자 권한 설정에서 Meta 비즈니스를 제어하는 권한 항목명 확인</t>
  </si>
  <si>
    <t>[예외 케이스] 미로그인</t>
  </si>
  <si>
    <t>AUTH_005</t>
  </si>
  <si>
    <t>미로그인 직접 접근</t>
  </si>
  <si>
    <t>- 관리자 로그아웃 상태</t>
  </si>
  <si>
    <t>1. 브라우저 주소창에 Meta 비즈니스 상품 피드 URL을 직접 입력한다.</t>
  </si>
  <si>
    <t>- 관리자 로그인 화면으로 이동하고 상품 피드 데이터가 노출되지 않음 확인</t>
  </si>
  <si>
    <t>REG_001</t>
  </si>
  <si>
    <t>부가서비스 &gt; 채널 &gt; 구글 쇼핑 상품 피드</t>
  </si>
  <si>
    <t>상품 GPC 공통값</t>
  </si>
  <si>
    <t>- 주운영자 로그인 상태
- FBE 연동 완료 상점(비즈니스 관리자·페이지·픽셀·카탈로그·광고 계정 연결)
- 구글 쇼핑 상품 피드 연동 상품 1건(GPC X)</t>
  </si>
  <si>
    <t>1. Meta 비즈니스 &gt; 상품 피드에서 해당 상품의 [상세]를 클릭한다.
2. 페이스북 카테고리를 GPC Y로 변경하고 [상품 피드 반영]을 클릭한다.
3. 구글 쇼핑 상품 피드 화면에서 해당 상품의 카테고리를 확인한다.</t>
  </si>
  <si>
    <t>- 구글 쇼핑 상품 피드에서도 GPC Y 노출 확인
- 구글 쇼핑 상품 피드의 다른 설정값은 변경되지 않음 확인</t>
  </si>
  <si>
    <t>REG_002</t>
  </si>
  <si>
    <t>결제수단별 주문 완료</t>
  </si>
  <si>
    <t>- 쇼핑몰 회원 로그인 상태(테스트 회원)
- Meta 비즈니스 연동 완료, CAPI 사용</t>
  </si>
  <si>
    <t>1. PG 결제로 주문을 완료한다.
2. 무통장입금으로 주문을 완료한다.
3. 네이버페이 주문형으로 주문을 완료한다.</t>
  </si>
  <si>
    <t>- 세 주문 모두 주문 완료 화면 노출 및 관리자 주문 리스트에 기존과 같은 주문 상태로 생성 확인</t>
  </si>
  <si>
    <t>REG_003</t>
  </si>
  <si>
    <t>상품 상세</t>
  </si>
  <si>
    <t>Pixel ViewContent</t>
  </si>
  <si>
    <t>1. 상품 상세 페이지에 진입한다.
2. Meta Pixel Helper에서 이벤트를 확인한다.
3. Meta 이벤트 관리자 테스트 이벤트를 확인한다.</t>
  </si>
  <si>
    <t>REG_004</t>
  </si>
  <si>
    <t>[저장]</t>
  </si>
  <si>
    <t>1. 상품 수정에서 상품명을 변경하고 [저장]을 클릭한다.</t>
  </si>
  <si>
    <t>- 기존과 같은 저장 완료 안내 노출 및 상품 리스트에 변경 상품명 반영 확인
- Meta 전송과 관계없이 저장이 지연·실패하지 않음 확인</t>
  </si>
  <si>
    <t>REG_005</t>
  </si>
  <si>
    <t>연결 해제 후 재연동</t>
  </si>
  <si>
    <t>- 주운영자 로그인 상태
- 연결 해제 전 활동중이던 상품 5건이 있는 상점
- 연결 해제 완료 후 미연동 상태</t>
  </si>
  <si>
    <t>1. [Facebook Business Extension 시작하기]로 기존과 같은 Meta 자산을 선택해 연동한다.
2. 상품 카테고리 매칭 모달에서 [상품 피드 반영]을 클릭한다.
3. 상품 피드와 Meta 카탈로그를 확인한다.</t>
  </si>
  <si>
    <t>- 상품 5건이 반영대기를 거쳐 검토중으로 변경 확인
- Meta 카탈로그에 같은 상품이 중복 생성되지 않음 확인</t>
  </si>
  <si>
    <t>2026-10-20</t>
  </si>
  <si>
    <t>주운영자 로그인, 기존 FBE 연동 이력이 없는 상점</t>
    <phoneticPr fontId="18" type="noConversion"/>
  </si>
  <si>
    <t>개인정보 동의 &gt; 필수 항목 미체크</t>
    <phoneticPr fontId="18" type="noConversion"/>
  </si>
  <si>
    <t>1. 연동 시작 버튼을 클릭한다.
2. 필수 동의 3개 중 하나만 체크한다.
3. 동의하고 시작하기 버튼 상태를 확인한다.</t>
    <phoneticPr fontId="18" type="noConversion"/>
  </si>
  <si>
    <t>필수 3개가 모두 체크되지 않으면 시작 버튼이 비활성화되고 Meta 팝업은 열리지 않는다.</t>
    <phoneticPr fontId="18" type="noConversion"/>
  </si>
  <si>
    <t>1. [Facebook Business Extension 시작하기]를 클릭한다.
2. 필수 동의 3항목을 체크하고 [동의하고 시작하기]을 클릭한다.
3. Meta 팝업에서 로그인 후 비즈니스·페이지·Instagram·카탈로그·광고 계정·픽셀을 선택한다.
4. 권한 확인 후 [완료]를 클릭한다.</t>
    <phoneticPr fontId="18" type="noConversion"/>
  </si>
  <si>
    <t>1. [Facebook Business Extension 시작하기]를 클릭하고 필수 동의 후 [동의하고 시작하기]을 클릭한다.
2. Meta 팝업 Instagram 단계에서 'Skip connecting to Instagram'을 선택한다.
3. 나머지 자산을 선택하고 [완료]를 클릭한다.</t>
    <phoneticPr fontId="18" type="noConversion"/>
  </si>
  <si>
    <t>1. [Facebook Business Extension 시작하기]를 클릭하고 필수 동의 후 [동의하고 시작하기]을 클릭한다.
2. Meta 팝업의 비즈니스 포트폴리오 선택 단계에서 팝업 창을 닫는다.</t>
    <phoneticPr fontId="18" type="noConversion"/>
  </si>
  <si>
    <t>1. [Facebook Business Extension 시작하기]를 클릭하고 필수 동의 후 [동의하고 시작하기]을 클릭한다.
2. Meta 팝업에서 카탈로그를 선택하지 않고 팝업을 종료한다.</t>
    <phoneticPr fontId="18" type="noConversion"/>
  </si>
  <si>
    <t>1. [Facebook Business Extension 시작하기]를 클릭하고 필수 동의 후 [동의하고 시작하기]을 클릭한다.
2. Meta 팝업이 열린 상태에서 관리자 화면을 새로고침(F5)한다.</t>
    <phoneticPr fontId="18" type="noConversion"/>
  </si>
  <si>
    <t>1. [Facebook Business Extension 시작하기]를 클릭하고 필수 동의 후 [동의하고 시작하기]을 클릭한다.
2. Meta 팝업 권한 확인 단계에서 '비즈니스 확장 기능 관리' 외 1개 권한을 해제하고 [완료]를 클릭한다.
3. 연결 관리 탭을 확인한다.</t>
    <phoneticPr fontId="18" type="noConversion"/>
  </si>
  <si>
    <t>MIG_001</t>
    <phoneticPr fontId="18" type="noConversion"/>
  </si>
  <si>
    <t>관리자(Admin)</t>
    <phoneticPr fontId="18" type="noConversion"/>
  </si>
  <si>
    <t>부가서비스 &gt; 채널 &gt; Meta 비즈니스</t>
    <phoneticPr fontId="18" type="noConversion"/>
  </si>
  <si>
    <t>P1</t>
    <phoneticPr fontId="18" type="noConversion"/>
  </si>
  <si>
    <t>MIG_002</t>
    <phoneticPr fontId="18" type="noConversion"/>
  </si>
  <si>
    <t>MIG_003</t>
    <phoneticPr fontId="18" type="noConversion"/>
  </si>
  <si>
    <t>MIG_004</t>
    <phoneticPr fontId="18" type="noConversion"/>
  </si>
  <si>
    <t>MIG_005</t>
    <phoneticPr fontId="18" type="noConversion"/>
  </si>
  <si>
    <t>MIG_006</t>
    <phoneticPr fontId="18" type="noConversion"/>
  </si>
  <si>
    <t>MIG_007</t>
    <phoneticPr fontId="18" type="noConversion"/>
  </si>
  <si>
    <t>MIG_008</t>
    <phoneticPr fontId="18" type="noConversion"/>
  </si>
  <si>
    <t>P2</t>
    <phoneticPr fontId="18" type="noConversion"/>
  </si>
  <si>
    <t>MIG_009</t>
    <phoneticPr fontId="18" type="noConversion"/>
  </si>
  <si>
    <t>P0</t>
    <phoneticPr fontId="18" type="noConversion"/>
  </si>
  <si>
    <t>MIG_010</t>
    <phoneticPr fontId="18" type="noConversion"/>
  </si>
  <si>
    <t>MIG_011</t>
    <phoneticPr fontId="18" type="noConversion"/>
  </si>
  <si>
    <t>재연동 성공</t>
    <phoneticPr fontId="18" type="noConversion"/>
  </si>
  <si>
    <t>MIG_012</t>
    <phoneticPr fontId="18" type="noConversion"/>
  </si>
  <si>
    <t>MIG_013</t>
    <phoneticPr fontId="18" type="noConversion"/>
  </si>
  <si>
    <t>MIG_014</t>
    <phoneticPr fontId="18" type="noConversion"/>
  </si>
  <si>
    <t>MIG_015</t>
    <phoneticPr fontId="18" type="noConversion"/>
  </si>
  <si>
    <t>- 주운영자 로그인 상태
- FBE 연동 완료 상점(비즈니스 관리자·페이지·픽셀·카탈로그·광고 계정 연결)
- 최신 기준 버전 약관 동의 이력 있음</t>
    <phoneticPr fontId="18" type="noConversion"/>
  </si>
  <si>
    <t>- 네이버페이 주문형 설정 완료
- Meta 비즈니스 연동 완료, 네이버페이 구매 전환 '사용'</t>
    <phoneticPr fontId="18" type="noConversion"/>
  </si>
  <si>
    <t>- CAPI Purchase 1건이 custom_data.payment_method 'naver_pay'로 수신 확인
- 1번 클릭 시점에는 Purchase 미수신 확인</t>
    <phoneticPr fontId="18" type="noConversion"/>
  </si>
  <si>
    <t>- Meta 비즈니스 연동 완료, 픽셀 연결</t>
    <phoneticPr fontId="18" type="noConversion"/>
  </si>
  <si>
    <t>- Pixel ViewContent 1건과 서버(CAPI) ViewContent 1건이 같은 event_id로 수신 확인
- Meta 이벤트 관리자에서 중복 제거되어 1건으로 집계 확인</t>
    <phoneticPr fontId="18" type="noConversion"/>
  </si>
  <si>
    <t>MIG_016</t>
    <phoneticPr fontId="18" type="noConversion"/>
  </si>
  <si>
    <t>- 네이버페이 구매 전환이 '사용'으로 노출 확인</t>
    <phoneticPr fontId="18" type="noConversion"/>
  </si>
  <si>
    <t>CAPI_007</t>
    <phoneticPr fontId="18" type="noConversion"/>
  </si>
  <si>
    <t>상품 상세 &gt; 네이버페이 주문형</t>
    <phoneticPr fontId="18" type="noConversion"/>
  </si>
  <si>
    <t>외부 결제 구매전환 사용안함</t>
    <phoneticPr fontId="18" type="noConversion"/>
  </si>
  <si>
    <t>- 네이버페이 주문형 설정 완료
- Meta 비즈니스 연동 완료, 네이버페이 구매 전환 '사용안함'</t>
    <phoneticPr fontId="18" type="noConversion"/>
  </si>
  <si>
    <t>1. 상품 상세 페이지에 진입한다.
2. [네이버페이 구매하기]로 결제를 완료한다.
3. Meta 이벤트 관리자 테스트 이벤트를 확인한다.</t>
    <phoneticPr fontId="18" type="noConversion"/>
  </si>
  <si>
    <t>- ViewContent 등 일반 CAPI 이벤트는 수신 확인
- payment_method 'naver_pay' Purchase는 미수신 확인</t>
    <phoneticPr fontId="18" type="noConversion"/>
  </si>
  <si>
    <t>ADS_011</t>
    <phoneticPr fontId="18" type="noConversion"/>
  </si>
  <si>
    <t>부가서비스 &gt; 채널 &gt; Meta 비즈니스 &gt; 광고 관리</t>
    <phoneticPr fontId="18" type="noConversion"/>
  </si>
  <si>
    <t>전환 추적 설정 &gt; 노출 항목</t>
    <phoneticPr fontId="18" type="noConversion"/>
  </si>
  <si>
    <t>- 주운영자 로그인 상태
- FBE 연동 완료 상점</t>
    <phoneticPr fontId="18" type="noConversion"/>
  </si>
  <si>
    <t>1. 광고 관리 탭의 전환 추적 설정 영역을 확인한다.</t>
    <phoneticPr fontId="18" type="noConversion"/>
  </si>
  <si>
    <t>- 네이버페이·톡 체크아웃 구매 전환 토글만 노출 확인
- 일반 CAPI 사용·사용안함 설정과 이벤트별 사용 선택 항목이 없음 확인</t>
    <phoneticPr fontId="18" type="noConversion"/>
  </si>
  <si>
    <t>기존 상점 전환 16건 추가(MIG_001~016), 필수 동의 3개 반영, CAPI 사용 설정 없음 반영(ADS_011·CAPI_007 추가, CAPI_004·REG_003 정리), 근거 출처를 HTML 화면정의서·게시 사양 정의서 기준으로 변경</t>
    <phoneticPr fontId="18" type="noConversion"/>
  </si>
  <si>
    <t>PC 샵단</t>
    <phoneticPr fontId="18" type="noConversion"/>
  </si>
  <si>
    <t>재연동 안내 &gt; 신규 메뉴 진입</t>
    <phoneticPr fontId="18" type="noConversion"/>
  </si>
  <si>
    <t>- 주운영자 로그인 상태
- 배포 시점에 기존 페이스북 연동(FBE) 중인 전환 대상 상점
- Meta 비즈니스 재연동 미완료</t>
    <phoneticPr fontId="18" type="noConversion"/>
  </si>
  <si>
    <t>1. 부가서비스 &gt; 채널에서 [Meta 비즈니스]를 클릭한다.
2. 재연동 안내 얼럿에서 [확인]을 클릭한다.</t>
    <phoneticPr fontId="18" type="noConversion"/>
  </si>
  <si>
    <t>부가서비스 &gt; 채널 &gt; Meta 비즈니스 &gt; 연결 관리</t>
    <phoneticPr fontId="18" type="noConversion"/>
  </si>
  <si>
    <t>기존 연동 이력 없는 상점</t>
    <phoneticPr fontId="18" type="noConversion"/>
  </si>
  <si>
    <t>- 주운영자 로그인 상태
- 기존 FBE 연동 이력이 없는 상점</t>
    <phoneticPr fontId="18" type="noConversion"/>
  </si>
  <si>
    <t>1. 부가서비스 &gt; 채널 메뉴 목록을 확인한다.
2. [Meta 비즈니스]를 클릭한다.
3. [Facebook Business Extension 시작하기]를 클릭한다.</t>
    <phoneticPr fontId="18" type="noConversion"/>
  </si>
  <si>
    <t>- 채널 목록에 기존 [페이스북 연동] 메뉴 미노출 확인
- 재연동 안내 얼럿 없이 연결 관리 미연동 화면 노출 확인
- 3번 클릭 시 개인정보 동의 팝업 노출 확인</t>
    <phoneticPr fontId="18" type="noConversion"/>
  </si>
  <si>
    <t>동의 팝업 닫기 &gt; 신규 메뉴 경로</t>
    <phoneticPr fontId="18" type="noConversion"/>
  </si>
  <si>
    <t>동의 팝업 닫기 &gt; 동의 이력 미저장</t>
    <phoneticPr fontId="18" type="noConversion"/>
  </si>
  <si>
    <t>- 2번 후 연결 관리 미연동 화면 유지 확인
- 3번 클릭 시 동의 팝업이 다시 노출됨 확인</t>
    <phoneticPr fontId="18" type="noConversion"/>
  </si>
  <si>
    <t>동의 팝업 닫기 후 신규 메뉴 재진입</t>
    <phoneticPr fontId="18" type="noConversion"/>
  </si>
  <si>
    <t>1. [Meta 비즈니스]를 클릭하고 재연동 안내 얼럿에서 [확인]을 클릭한다.
2. 동의 팝업에서 닫기(X)를 클릭한다.
3. 다른 관리자 메뉴로 이동한 뒤 [Meta 비즈니스]를 다시 클릭한다.
4. 재연동 안내 얼럿에서 [확인]을 클릭한다.</t>
    <phoneticPr fontId="18" type="noConversion"/>
  </si>
  <si>
    <t>- 3번에서 재연동 안내 얼럿 재노출 확인
- 4번 후 동의 팝업 노출 확인</t>
    <phoneticPr fontId="18" type="noConversion"/>
  </si>
  <si>
    <t>부가서비스 &gt; 채널 &gt; Meta 비즈니스 &gt; 홈 / 상품 피드 / 광고 관리 / Shops 관리</t>
    <phoneticPr fontId="18" type="noConversion"/>
  </si>
  <si>
    <t>재연동 안내 &gt; 탭 이동</t>
    <phoneticPr fontId="18" type="noConversion"/>
  </si>
  <si>
    <t>1. [Meta 비즈니스]를 클릭하고 재연동 안내 얼럿에서 [확인]을 클릭한다.
2. 동의 팝업에서 닫기(X)를 클릭한다.
3. 홈·상품 피드·광고 관리·Shops 관리 탭을 차례로 클릭한다.</t>
    <phoneticPr fontId="18" type="noConversion"/>
  </si>
  <si>
    <t>- 탭 이동 시 재연동 안내 얼럿 미노출 확인
- 상품 피드·광고 관리·Shops 관리 탭에 미연동 안내 카드 노출 확인</t>
    <phoneticPr fontId="18" type="noConversion"/>
  </si>
  <si>
    <t>개인정보 동의 &gt; 전체 동의</t>
    <phoneticPr fontId="18" type="noConversion"/>
  </si>
  <si>
    <t>1. [Meta 비즈니스]를 클릭하고 재연동 안내 얼럿에서 [확인]을 클릭한다.
2. 동의 팝업에서 [전체 동의]를 체크한다.
3. 필수 항목 ①의 체크를 해제한다.
4. ①을 다시 체크하고 [동의하고 시작하기]를 클릭한다.</t>
    <phoneticPr fontId="18" type="noConversion"/>
  </si>
  <si>
    <t>- 2번에서 필수 3개 모두 체크, [동의하고 시작하기] 활성 확인
- 3번에서 [전체 동의] 해제, [동의하고 시작하기] 비활성 확인
- 4번에서 Meta 팝업 실행 확인</t>
    <phoneticPr fontId="18" type="noConversion"/>
  </si>
  <si>
    <t>부가서비스 &gt; 채널 &gt; Meta 비즈니스 &gt; 연결 관리 / 상품 피드</t>
    <phoneticPr fontId="18" type="noConversion"/>
  </si>
  <si>
    <t>재연동 &gt; Meta 팝업 중단</t>
    <phoneticPr fontId="18" type="noConversion"/>
  </si>
  <si>
    <t>부가서비스 &gt; 채널 &gt; Meta 비즈니스 &gt; 연결 관리 / 부가서비스 &gt; 채널</t>
    <phoneticPr fontId="18" type="noConversion"/>
  </si>
  <si>
    <t>- 주운영자 로그인 상태
- 배포 시점에 기존 페이스북 연동(FBE) 중인 전환 대상 상점
- Meta 비즈니스 재연동 미완료
- 기존 연동과 같은 비즈니스 포트폴리오·페이지·카탈로그·광고 계정·픽셀을 보유한 테스트용 Meta 비즈니스 계정</t>
    <phoneticPr fontId="18" type="noConversion"/>
  </si>
  <si>
    <t>개발 검증 환경 &gt; Meta 연동 정보 조회</t>
    <phoneticPr fontId="18" type="noConversion"/>
  </si>
  <si>
    <t>재연동 &gt; 연동 정보 갱신</t>
    <phoneticPr fontId="18" type="noConversion"/>
  </si>
  <si>
    <t>- 주운영자 로그인 상태
- 배포 시점에 기존 페이스북 연동(FBE) 중인 전환 대상 상점
- Meta 비즈니스 재연동 미완료
- 개발 검증 환경에서 상점의 Meta 연동 정보 조회 가능</t>
    <phoneticPr fontId="18" type="noConversion"/>
  </si>
  <si>
    <t>1. [Meta 비즈니스]를 클릭하고 재연동 안내 얼럿에서 [확인]을 클릭한다.
2. 필수 동의 3개를 체크하고 [동의하고 시작하기]를 클릭한다.
3. Meta 팝업에서 기존과 다른 카탈로그를 선택하고 완료한다.
4. 상점의 Meta 연동 정보를 조회한다.</t>
    <phoneticPr fontId="18" type="noConversion"/>
  </si>
  <si>
    <t>- 상점의 Meta 연동 정보가 1건만 존재 확인
- 해당 연동 정보의 카탈로그 ID가 3번에서 선택한 값으로 갱신됨 확인</t>
    <phoneticPr fontId="18" type="noConversion"/>
  </si>
  <si>
    <t>부가서비스 &gt; 채널 &gt; Meta 비즈니스 &gt; 상품 피드 / 상품 상세</t>
    <phoneticPr fontId="18" type="noConversion"/>
  </si>
  <si>
    <t>재연동 전 &gt; 전송 보류·기존 전송 유지</t>
    <phoneticPr fontId="18" type="noConversion"/>
  </si>
  <si>
    <t>- 주운영자 로그인 상태
- 배포 시점에 기존 페이스북 연동(FBE) 중인 전환 대상 상점
- Meta 비즈니스 재연동 미완료
- 기존 연동 픽셀이 설치된 쇼핑몰</t>
    <phoneticPr fontId="18" type="noConversion"/>
  </si>
  <si>
    <t>1. 재연동 전 상태에서 상품 1건의 상품명을 수정한다.
2. [Meta 비즈니스] 상품 피드 탭을 확인한다.
3. 쇼핑몰 상품 상세에 진입하고 Meta 이벤트 관리자 테스트 이벤트를 확인한다.</t>
    <phoneticPr fontId="18" type="noConversion"/>
  </si>
  <si>
    <t>- 상품 피드 탭에 미연동 안내 카드 노출 확인
- 1번 수정 건이 Meta 비즈니스 전송 큐로 전송되지 않음 확인(Meta 카탈로그 상품명 미변경)
- 기존 연동 픽셀의 ViewContent 이벤트 수신 확인</t>
    <phoneticPr fontId="18" type="noConversion"/>
  </si>
  <si>
    <t>재연동 &gt; 필수 자산 누락</t>
    <phoneticPr fontId="18" type="noConversion"/>
  </si>
  <si>
    <t>1. [Meta 비즈니스]를 클릭하고 재연동 안내 얼럿에서 [확인]을 클릭한다.
2. 필수 동의 3개를 체크하고 [동의하고 시작하기]를 클릭한다.
3. Meta 팝업에서 광고 계정을 선택하지 않고 완료한다.</t>
    <phoneticPr fontId="18" type="noConversion"/>
  </si>
  <si>
    <t>전환 대상 아님 &gt; 배포 전 해제 상점</t>
    <phoneticPr fontId="18" type="noConversion"/>
  </si>
  <si>
    <t>- 주운영자 로그인 상태
- 배포 전에 기존 페이스북 연동을 해제한 상점</t>
    <phoneticPr fontId="18" type="noConversion"/>
  </si>
  <si>
    <t>1. 부가서비스 &gt; 채널 메뉴 목록을 확인한다.
2. [Meta 비즈니스]를 클릭한다.</t>
    <phoneticPr fontId="18" type="noConversion"/>
  </si>
  <si>
    <t>- 채널 목록에 기존 [페이스북 연동] 메뉴 미노출 확인
- 재연동 안내 얼럿 없이 연결 관리 미연동 화면 노출 확인</t>
    <phoneticPr fontId="18" type="noConversion"/>
  </si>
  <si>
    <t>개인정보 동의 &gt; 저장 실패</t>
    <phoneticPr fontId="18" type="noConversion"/>
  </si>
  <si>
    <t>- 주운영자 로그인 상태
- 배포 시점에 기존 페이스북 연동(FBE) 중인 전환 대상 상점
- Meta 비즈니스 재연동 미완료
- 동의 이력 저장이 실패하도록 설정한 개발 검증 환경</t>
    <phoneticPr fontId="18" type="noConversion"/>
  </si>
  <si>
    <t>1. [Meta 비즈니스]를 클릭하고 재연동 안내 얼럿에서 [확인]을 클릭한다.
2. 필수 동의 3개를 체크하고 [동의하고 시작하기]를 클릭한다.</t>
    <phoneticPr fontId="18" type="noConversion"/>
  </si>
  <si>
    <t>- 얼럿 '동의 처리에 실패했습니다. 잠시 후 다시 시도해 주세요.' 노출 확인
- 동의 팝업 유지, Meta 팝업 미실행 확인</t>
    <phoneticPr fontId="18" type="noConversion"/>
  </si>
  <si>
    <t>MIG_017</t>
    <phoneticPr fontId="18" type="noConversion"/>
  </si>
  <si>
    <t>이관값 &gt; 네이버페이 구매전환</t>
    <phoneticPr fontId="18" type="noConversion"/>
  </si>
  <si>
    <t>- 주운영자 로그인 상태
- 기존 페이스북 연동 메뉴에서 네이버페이 구매전환 '사용'이던 전환 대상 상점
- 주문형 네이버페이 설정 완료</t>
    <phoneticPr fontId="18" type="noConversion"/>
  </si>
  <si>
    <t>1. [Meta 비즈니스]를 클릭하고 재연동 안내 얼럿에서 [확인]을 클릭한다.
2. 필수 동의 3개를 체크하고 [동의하고 시작하기]를 클릭한다.
3. Meta 팝업에서 자산을 선택하고 완료한다.
4. 광고 관리 탭의 전환 추적 설정을 확인한다.</t>
    <phoneticPr fontId="18" type="noConversion"/>
  </si>
  <si>
    <t>v1.1: 기존 상점 전환 TC 17건(MIG_001부터 MIG_017)으로 재작성, 필수 동의 3개·CAPI 사용 설정 없음 반영(ADS_011·CAPI_007 추가, CAPI_004·REG_003·FBE_009 정리), 근거 출처를 Confluence 사양 정의서·HTML 화면정의서 기준으로 통일</t>
  </si>
  <si>
    <t>- 얼럿 문구 '페이스북 연동 기능이 Meta 비즈니스로 업그레이드되었습니다. 약관에 동의한 후 연동을 진행해 주세요.' 노출 확인
- [확인] 클릭 후 연결 관리 탭(미연동 화면)으로 화면 전환, 개인정보 수집·이용 및 제공 동의 팝업 노출 확인
- [설정] 등 별도 버튼 클릭 없이 동의 팝업이 열림 확인</t>
    <phoneticPr fontId="18" type="noConversion"/>
  </si>
  <si>
    <t>부가서비스 &gt; 채널 &gt; Meta 비즈니스 &gt; 상품 피드 / 연결 관리</t>
    <phoneticPr fontId="18" type="noConversion"/>
  </si>
  <si>
    <t>재연동 안내 &gt; 다른 탭으로 진입</t>
    <phoneticPr fontId="18" type="noConversion"/>
  </si>
  <si>
    <t>1. [Meta 비즈니스] 상품 피드 탭으로 바로 진입한다.
2. 재연동 안내 얼럿에서 [확인]을 클릭한다.</t>
    <phoneticPr fontId="18" type="noConversion"/>
  </si>
  <si>
    <t>- 상품 피드 탭 위에 재연동 안내 얼럿 노출 확인
- [확인] 클릭 후 연결 관리 탭으로 화면 전환, 개인정보 수집·이용 및 제공 동의 팝업 노출 확인</t>
    <phoneticPr fontId="18" type="noConversion"/>
  </si>
  <si>
    <t>1. [Meta 비즈니스]를 클릭하고 재연동 안내 얼럿에서 [확인]을 클릭한다.
2. 동의 팝업에서 닫기(X)를 클릭한다.</t>
    <phoneticPr fontId="18" type="noConversion"/>
  </si>
  <si>
    <t>- 동의 팝업이 닫히고 연결 관리 미연동 화면 유지 확인
- Meta 팝업 미실행 확인
- 다른 메뉴로 나갔다가 [Meta 비즈니스] 재진입 시 재연동 안내 얼럿 재노출 확인</t>
    <phoneticPr fontId="18" type="noConversion"/>
  </si>
  <si>
    <t>1. [Meta 비즈니스]를 클릭하고 재연동 안내 얼럿에서 [확인]을 클릭한다.
2. 동의 팝업에서 닫기(X)를 클릭한다.
3. [Facebook Business Extension 시작하기]를 클릭한다.</t>
    <phoneticPr fontId="18" type="noConversion"/>
  </si>
  <si>
    <t>부가서비스 &gt; 채널</t>
    <phoneticPr fontId="18" type="noConversion"/>
  </si>
  <si>
    <t>기존 메뉴 미제공</t>
    <phoneticPr fontId="18" type="noConversion"/>
  </si>
  <si>
    <t>1. 부가서비스 &gt; 채널 메뉴 목록을 확인한다.</t>
    <phoneticPr fontId="18" type="noConversion"/>
  </si>
  <si>
    <t>- 기존 [페이스북 연동] 메뉴 미노출 확인
- [Meta 비즈니스] 카드만 노출 확인</t>
    <phoneticPr fontId="18" type="noConversion"/>
  </si>
  <si>
    <t>1. [Meta 비즈니스]를 클릭하고 재연동 안내 얼럿에서 [확인]을 클릭한다.
2. 필수 동의 3개를 체크하고 [동의하고 시작하기]를 클릭한다.
3. Meta 팝업을 닫는다.
4. 상품 피드 탭을 확인한다.
5. 연결 관리 탭에서 [Facebook Business Extension 시작하기]를 클릭한다.</t>
    <phoneticPr fontId="18" type="noConversion"/>
  </si>
  <si>
    <t>- 연결 관리 미연동 화면 유지 확인
- 상품 피드 탭에 미연동 안내 카드 노출 확인
- 다른 메뉴로 나갔다가 [Meta 비즈니스] 재진입 시 재연동 안내 얼럿 재노출 확인
- 5번에서 동의 팝업 없이 Meta 팝업 실행 확인</t>
    <phoneticPr fontId="18" type="noConversion"/>
  </si>
  <si>
    <t>1. [Meta 비즈니스]를 클릭하고 재연동 안내 얼럿에서 [확인]을 클릭한다.
2. 필수 동의 3개를 체크하고 [동의하고 시작하기]를 클릭한다.
3. Meta 팝업에서 비즈니스·페이지·카탈로그·광고 계정·픽셀을 선택하고 완료한다.
4. 다른 관리자 메뉴로 나갔다가 [Meta 비즈니스]를 다시 클릭한다.</t>
    <phoneticPr fontId="18" type="noConversion"/>
  </si>
  <si>
    <t>- 연결 관리 연동 완료 화면 전환, 상품 카테고리 매칭 모달 1회 자동 노출 확인
- [Meta 비즈니스] 재진입 시 재연동 안내 얼럿 미노출 확인</t>
    <phoneticPr fontId="18" type="noConversion"/>
  </si>
  <si>
    <t>- 연동 완료로 전환되지 않고 연결 관리 미연동 화면 유지 확인
- 상품 카테고리 매칭 모달 미노출 확인
- 다른 메뉴로 나갔다가 [Meta 비즈니스] 재진입 시 재연동 안내 얼럿 재노출 확인</t>
    <phoneticPr fontId="18" type="noConversion"/>
  </si>
  <si>
    <t>v1.2: 기존 [페이스북 연동] 메뉴 미제공 반영. MIG_002를 다른 탭 진입 안내로, MIG_006을 기존 메뉴 미노출로 변경, 기존 메뉴 전제 문구 정리, 얼럿 [확인] 후 연결 관리 화면 전환 명시</t>
  </si>
  <si>
    <t>[Epic] 메타 비즈니스 연동 (연결 관리·상품 피드·광고 관리·Shops 관리·Pixel/CAPI)</t>
  </si>
  <si>
    <t>Epic</t>
  </si>
  <si>
    <t>담당자</t>
  </si>
  <si>
    <t>[사양 정의서] 메타 비즈니스 연동 &gt; FR-003, POL-003, AC-004
[예외 케이스] 중간 이탈</t>
  </si>
  <si>
    <t>[사양 정의서] 메타 비즈니스 연동 &gt; FR-003, POL-003, AC-004
[예외 케이스] 필수 자산 누락</t>
  </si>
  <si>
    <t>[예외 케이스] 새로고침
[사양 정의서] 메타 비즈니스 연동 &gt; POL-003</t>
  </si>
  <si>
    <t>[사양 정의서] 메타 비즈니스 연동 &gt; FR-005, POL-010, AC-007, NFR-006</t>
  </si>
  <si>
    <t>[사양 정의서] 메타 비즈니스 연동 &gt; FR-006, FR-019, POL-013, AC-008</t>
  </si>
  <si>
    <t>[예외 케이스] 중복 클릭
[사양 정의서] 메타 비즈니스 연동 &gt; POL-014</t>
  </si>
  <si>
    <t>[예외 케이스] 중복 클릭
[사양 정의서] 메타 비즈니스 연동 &gt; POL-044, POL-037</t>
  </si>
  <si>
    <t>[사양 정의서] 메타 비즈니스 연동 &gt; POL-047</t>
  </si>
  <si>
    <t>[사양 정의서] 메타 비즈니스 연동 &gt; POL-034, AC-019</t>
  </si>
  <si>
    <t>[사양 정의서] 메타 비즈니스 연동 &gt; POL-033, AC-020
[예외 케이스] 경계값</t>
  </si>
  <si>
    <t>[사양 정의서] 메타 비즈니스 연동 &gt; FR-018, POL-054, AC-024</t>
  </si>
  <si>
    <t>[사양 정의서] 메타 비즈니스 연동 &gt; FR-015, POL-035, POL-038, AC-013</t>
  </si>
  <si>
    <t>[사양 정의서] 메타 비즈니스 연동 &gt; FR-017, POL-039, POL-040, AC-013, OPEN-005</t>
  </si>
  <si>
    <t>[사양 정의서] 메타 비즈니스 연동 &gt; POL-036, AC-014</t>
  </si>
  <si>
    <t>[사양 정의서] 메타 비즈니스 연동 &gt; POL-037, AC-015</t>
  </si>
  <si>
    <t>[사양 정의서] 메타 비즈니스 연동 &gt; FR-016, POL-042, AC-017</t>
  </si>
  <si>
    <t>[사양 정의서] 메타 비즈니스 연동 &gt; POL-042</t>
  </si>
  <si>
    <t>[사양 정의서] 메타 비즈니스 연동 &gt; POL-043, AC-018</t>
  </si>
  <si>
    <t>[사양 정의서] 메타 비즈니스 연동 &gt; FR-015, OPEN-004
[예외 케이스] 외부 연동 실패</t>
  </si>
  <si>
    <t>[사양 정의서] 메타 비즈니스 연동 &gt; NFR-001, CON-005
[예외 케이스] 대량</t>
  </si>
  <si>
    <t>[사양 정의서] 메타 비즈니스 연동 &gt; POL-068, AC-027</t>
  </si>
  <si>
    <t>[사양 정의서] 메타 비즈니스 연동 &gt; POL-064, OPEN-002</t>
  </si>
  <si>
    <t>[사양 정의서] 메타 비즈니스 연동 &gt; FR-023, POL-075, POL-095, AC-047</t>
  </si>
  <si>
    <t>[사양 정의서] 메타 비즈니스 연동 &gt; FR-024, POL-080, AC-030</t>
  </si>
  <si>
    <t>[사양 정의서] 메타 비즈니스 연동 &gt; FR-024, POL-078, POL-080</t>
  </si>
  <si>
    <t>[사양 정의서] 메타 비즈니스 연동 &gt; POL-078
[예외 케이스] 실패 동작</t>
  </si>
  <si>
    <t>[사양 정의서] 메타 비즈니스 연동 &gt; POL-075, POL-076</t>
  </si>
  <si>
    <t>[사양 정의서] 메타 비즈니스 연동 &gt; AC-031, NFR-006
[예외 케이스] 외부 연동 실패</t>
  </si>
  <si>
    <t>[사양 정의서] 메타 비즈니스 연동 &gt; AC-032, CON-002</t>
  </si>
  <si>
    <t>[사양 정의서] 메타 비즈니스 연동 &gt; CON-003, AC-033
[예외 케이스] 권한 없음</t>
  </si>
  <si>
    <t>[사양 정의서] 메타 비즈니스 연동 &gt; CON-003</t>
  </si>
  <si>
    <t>[예외 케이스] 권한 없는 계정
[사양 정의서] 메타 비즈니스 연동 &gt; FR-001</t>
  </si>
  <si>
    <t>[사양 정의서] 메타 비즈니스 연동 &gt; POL-048
[예외 케이스] Google 채널 공통 GPC</t>
  </si>
  <si>
    <t>[사양 정의서] 메타 비즈니스 연동 &gt; NFR-006
[예외 케이스] 기존 주문 흐름</t>
  </si>
  <si>
    <t>[사양 정의서] 메타 비즈니스 연동 &gt; POL-073, POL-075, POL-080</t>
  </si>
  <si>
    <t>[사양 정의서] 메타 비즈니스 연동 &gt; POL-042
[예외 케이스] 상품 저장</t>
  </si>
  <si>
    <t>[사양 정의서] 메타 비즈니스 연동 &gt; POL-014, POL-055</t>
  </si>
  <si>
    <t>[사양 정의서] 메타 비즈니스 연동 &gt; FR-001, FR-002, POL-086, POL-089, AC-044</t>
  </si>
  <si>
    <t>[사양 정의서] 메타 비즈니스 연동 &gt; FR-027, POL-087, AC-038</t>
  </si>
  <si>
    <t>[사양 정의서] 메타 비즈니스 연동 &gt; FR-028, FR-010, POL-088, POL-090, AC-043</t>
  </si>
  <si>
    <t>[사양 정의서] 메타 비즈니스 연동 &gt; FR-029, FR-030, POL-001, POL-088, POL-091, POL-092, AC-045</t>
  </si>
  <si>
    <t>[사양 정의서] 메타 비즈니스 연동 &gt; FR-004, FR-029, FR-030, POL-091, POL-093, AC-040, AC-042</t>
  </si>
  <si>
    <t>[사양 정의서] 메타 비즈니스 연동 &gt; FR-030, POL-091, AC-040</t>
  </si>
  <si>
    <t>[사양 정의서] 메타 비즈니스 연동 &gt; FR-029, POL-090, POL-092, AC-041</t>
  </si>
  <si>
    <t>[사양 정의서] 메타 비즈니스 연동 &gt; FR-003, FR-030, POL-003, POL-091, POL-092, AC-045</t>
  </si>
  <si>
    <t>[사양 정의서] 메타 비즈니스 연동 &gt; POL-086, AC-044</t>
  </si>
  <si>
    <t>[사양 정의서] 메타 비즈니스 연동 &gt; FR-002, POL-001</t>
  </si>
  <si>
    <t>[사양 정의서] 메타 비즈니스 연동 &gt; FR-026, POL-094, POL-077, AC-046</t>
  </si>
  <si>
    <t>[와이어프레임] HTML 화면정의서 &gt; 3-1. 부가서비스_채널
[사양 정의서] 메타 비즈니스 연동 &gt; WF-001, FR-001</t>
  </si>
  <si>
    <t>[와이어프레임] HTML 화면정의서 &gt; 3-2. 부가서비스_채널_메타 비즈니스 (홈) &gt; 공통 버튼 노출 정책
[사양 정의서] 메타 비즈니스 연동 &gt; WF-001</t>
  </si>
  <si>
    <t>[와이어프레임] HTML 화면정의서 &gt; 3-3. 연결관리 탭_미연동
[사양 정의서] 메타 비즈니스 연동 &gt; FR-001, FR-010, AC-001</t>
  </si>
  <si>
    <t>[와이어프레임] HTML 화면정의서 &gt; 3-3-1. 연결관리 탭_미연동 &gt; 개인정보 동의 팝업
[사양 정의서] 메타 비즈니스 연동 &gt; FR-002, POL-001, AC-002, CON-001</t>
  </si>
  <si>
    <t>[와이어프레임] HTML 화면정의서 &gt; 3-3-4. FBE 자산 연동(추정)
[사양 정의서] 메타 비즈니스 연동 &gt; FR-002, FR-003, POL-002, AC-003, FR-004, AC-006</t>
  </si>
  <si>
    <t>[와이어프레임] HTML 화면정의서 &gt; 3-3-3. 연결관리 탭_연동완료 &gt; 2
[사양 정의서] 메타 비즈니스 연동 &gt; POL-005, AC-005, OPEN-007</t>
  </si>
  <si>
    <t>[와이어프레임] HTML 화면정의서 &gt; 3-3-3. 연결관리 탭_연동완료 &gt; 2 표시 정보
[사양 정의서] 메타 비즈니스 연동 &gt; POL-004, AC-003</t>
  </si>
  <si>
    <t>[와이어프레임] HTML 화면정의서 &gt; 3-3-3. 연결관리 탭_연동완료 &gt; 2-2
[사양 정의서] 메타 비즈니스 연동 &gt; POL-006, POL-012</t>
  </si>
  <si>
    <t>[와이어프레임] HTML 화면정의서 &gt; 3-3-3. 연결관리 탭_연동완료 &gt; 2 바로가기 링크
[사양 정의서] 메타 비즈니스 연동 &gt; POL-007, POL-011</t>
  </si>
  <si>
    <t>[와이어프레임] HTML 화면정의서 &gt; 3-3-3. 연결관리 탭_연동완료 &gt; 2-1
[사양 정의서] 메타 비즈니스 연동 &gt; FR-007, POL-014, AC-009</t>
  </si>
  <si>
    <t>[와이어프레임] HTML 화면정의서 &gt; 3-3-3. 연결관리 탭_연동완료 &gt; 2-1
[사양 정의서] 메타 비즈니스 연동 &gt; INT-005</t>
  </si>
  <si>
    <t>[와이어프레임] HTML 화면정의서 &gt; 3-3-3. 연결관리 탭_연동완료 &gt; 2-1 Alert 문구
[사양 정의서] 메타 비즈니스 연동 &gt; POL-015, AC-010</t>
  </si>
  <si>
    <t>[와이어프레임] HTML 화면정의서 &gt; 3-3-3. 연결관리 탭_연동완료 &gt; 2-1 Alert 문구
[사양 정의서] 메타 비즈니스 연동 &gt; POL-016, AC-010</t>
  </si>
  <si>
    <t>[와이어프레임] HTML 화면정의서 &gt; 3-3-3. 연결관리 탭_연동완료 &gt; 5
[사양 정의서] 메타 비즈니스 연동 &gt; FR-008, POL-018</t>
  </si>
  <si>
    <t>[와이어프레임] HTML 화면정의서 &gt; 3-3-3. 연결관리 탭_연동완료 &gt; 5
[사양 정의서] 메타 비즈니스 연동 &gt; POL-018</t>
  </si>
  <si>
    <t>[와이어프레임] HTML 화면정의서 &gt; 3-3-3. 연결관리 탭_연동완료 &gt; 3, 카탈로그 연동 상품 툴팁
[사양 정의서] 메타 비즈니스 연동 &gt; FR-009, POL-057</t>
  </si>
  <si>
    <t>[와이어프레임] HTML 화면정의서 &gt; 3-3-2. 연결관리 탭_연동완료 및 상품 카테고리 매칭 &gt; 5
[사양 정의서] 메타 비즈니스 연동 &gt; FR-014, POL-044, AC-011</t>
  </si>
  <si>
    <t>[와이어프레임] HTML 화면정의서 &gt; 3-3-2. 연결관리 탭_연동완료 및 상품 카테고리 매칭 &gt; 4
[사양 정의서] 메타 비즈니스 연동 &gt; POL-045, AC-012</t>
  </si>
  <si>
    <t>[와이어프레임] HTML 화면정의서 &gt; 3-3-2. 연결관리 탭_연동완료 및 상품 카테고리 매칭 &gt; 4
[사양 정의서] 메타 비즈니스 연동 &gt; INT-007</t>
  </si>
  <si>
    <t>[와이어프레임] HTML 화면정의서 &gt; 3-3-2. 연결관리 탭_연동완료 및 상품 카테고리 매칭 &gt; 1
[사양 정의서] 메타 비즈니스 연동 &gt; POL-045</t>
  </si>
  <si>
    <t>[와이어프레임] HTML 화면정의서 &gt; 3-3-2. 연결관리 탭_연동완료 및 상품 카테고리 매칭 &gt; 2
[사양 정의서] 메타 비즈니스 연동 &gt; POL-046</t>
  </si>
  <si>
    <t>[와이어프레임] HTML 화면정의서 &gt; 3-3-2. 연결관리 탭_연동완료 및 상품 카테고리 매칭 &gt; 3-1 GPC 기본값
[사양 정의서] 메타 비즈니스 연동 &gt; POL-048, AC-023</t>
  </si>
  <si>
    <t>[와이어프레임] HTML 화면정의서 &gt; 3-4-2. 상품피드 탭_연동완료_상품 카테고리 매칭 (상품별) &gt; 10
[사양 정의서] 메타 비즈니스 연동 &gt; FR-013, POL-050</t>
  </si>
  <si>
    <t>[와이어프레임] HTML 화면정의서 &gt; 3-4-1. 상품피드 탭_연동완료 &gt; 3-8
[사양 정의서] 메타 비즈니스 연동 &gt; POL-050</t>
  </si>
  <si>
    <t>[와이어프레임] HTML 화면정의서 &gt; 3-4-2. 상품피드 탭_연동완료_상품 카테고리 매칭 (상품별) &gt; 10 Alert 문구
[사양 정의서] 메타 비즈니스 연동 &gt; POL-051, AC-021, OPEN-006</t>
  </si>
  <si>
    <t>[와이어프레임] HTML 화면정의서 &gt; 3-4-2. 상품피드 탭_연동완료_상품 카테고리 매칭 (상품별) &gt; 8, 9
[사양 정의서] 메타 비즈니스 연동 &gt; POL-049, AC-022</t>
  </si>
  <si>
    <t>[와이어프레임] HTML 화면정의서 &gt; 3-4-2. 상품피드 탭_연동완료_상품 카테고리 매칭 (상품별) &gt; 2
[사양 정의서] 메타 비즈니스 연동 &gt; POL-020, POL-052, AC-019, FR-012</t>
  </si>
  <si>
    <t>[와이어프레임] HTML 화면정의서 &gt; 3-4-2. 상품피드 탭_연동완료_상품 카테고리 매칭 (상품별)
[예외 케이스] 취소</t>
  </si>
  <si>
    <t>[와이어프레임] HTML 화면정의서 &gt; 3-4. 상품피드 탭_미연동
[사양 정의서] 메타 비즈니스 연동 &gt; FR-010, POL-019, INT-003</t>
  </si>
  <si>
    <t>[와이어프레임] HTML 화면정의서 &gt; 3-4-1. 상품피드 탭_연동완료 &gt; 2, 3-1
[사양 정의서] 메타 비즈니스 연동 &gt; FR-011, POL-057</t>
  </si>
  <si>
    <t>[와이어프레임] HTML 화면정의서 &gt; 3-4-1. 상품피드 탭_연동완료 &gt; 3-1
[사양 정의서] 메타 비즈니스 연동 &gt; POL-041, AC-016</t>
  </si>
  <si>
    <t>[와이어프레임] HTML 화면정의서 &gt; 3-4-1. 상품피드 탭_연동완료 &gt; 3-7
[사양 정의서] 메타 비즈니스 연동 &gt; FR-011, POL-040</t>
  </si>
  <si>
    <t>[와이어프레임] HTML 화면정의서 &gt; 3-4-1. 상품피드 탭_연동완료 &gt; 3-1
[사양 정의서] 메타 비즈니스 연동 &gt; FR-011</t>
  </si>
  <si>
    <t>[와이어프레임] HTML 화면정의서 &gt; 3-4-1. 상품피드 탭_연동완료 &gt; 3-2</t>
  </si>
  <si>
    <t>[와이어프레임] HTML 화면정의서 &gt; 3-4-1. 상품피드 탭_연동완료 &gt; 3-2
[예외 케이스] 0건</t>
  </si>
  <si>
    <t>[와이어프레임] HTML 화면정의서 &gt; 3-4-1. 상품피드 탭_연동완료 &gt; 3-3</t>
  </si>
  <si>
    <t>[와이어프레임] HTML 화면정의서 &gt; 3-4-1. 상품피드 탭_연동완료 &gt; 2-1
[사양 정의서] 메타 비즈니스 연동 &gt; 8장 Meta 관리 화면 바로가기</t>
  </si>
  <si>
    <t>[와이어프레임] HTML 화면정의서 &gt; 3-5. 광고관리 탭_미연동
[사양 정의서] 메타 비즈니스 연동 &gt; FR-010, POL-019</t>
  </si>
  <si>
    <t>[와이어프레임] HTML 화면정의서 &gt; 3-5-1. 광고관리 탭_연동완료
[사양 정의서] 메타 비즈니스 연동 &gt; FR-020, POL-058, POL-059</t>
  </si>
  <si>
    <t>[와이어프레임] HTML 화면정의서 &gt; 3-5-1. 광고관리 탭_연동완료
[사양 정의서] 메타 비즈니스 연동 &gt; FR-021, POL-060, POL-063, AC-025</t>
  </si>
  <si>
    <t>[와이어프레임] HTML 화면정의서 &gt; 3-5-1. 광고관리 탭_연동완료 &gt; 날짜 검색
[사양 정의서] 메타 비즈니스 연동 &gt; POL-061, AC-026
[예외 케이스] 경계값</t>
  </si>
  <si>
    <t>[와이어프레임] HTML 화면정의서 &gt; 3-5-2. 광고관리 탭_연동완료_항목 설정
[사양 정의서] 메타 비즈니스 연동 &gt; FR-022, POL-070, AC-028</t>
  </si>
  <si>
    <t>[와이어프레임] HTML 화면정의서 &gt; 3-5-2. 광고관리 탭_연동완료_항목 설정
[사양 정의서] 메타 비즈니스 연동 &gt; POL-071</t>
  </si>
  <si>
    <t>[와이어프레임] HTML 화면정의서 &gt; 3-5-1. 광고관리 탭_연동완료 &gt; 전환 추적 설정
[사양 정의서] 메타 비즈니스 연동 &gt; FR-023, POL-077, AC-029</t>
  </si>
  <si>
    <t>[와이어프레임] HTML 화면정의서 &gt; 3-5-1. 광고관리 탭_연동완료 &gt; [저장]
[사양 정의서] 메타 비즈니스 연동 &gt; POL-082, INT-010</t>
  </si>
  <si>
    <t>[와이어프레임] HTML 화면정의서 &gt; 3-6. 숍스관리 탭_미연동
[사양 정의서] 메타 비즈니스 연동 &gt; FR-010, POL-085, AC-036</t>
  </si>
  <si>
    <t>[와이어프레임] HTML 화면정의서 &gt; 3-6-1. 숍스관리 탭_연동완료 &gt; 2, 3
[사양 정의서] 메타 비즈니스 연동 &gt; FR-025, POL-083, POL-084, AC-034</t>
  </si>
  <si>
    <t>[와이어프레임] HTML 화면정의서 &gt; 3-6-1. 숍스관리 탭_연동완료 &gt; 3 연결 상태
[사양 정의서] 메타 비즈니스 연동 &gt; POL-084, AC-035</t>
  </si>
  <si>
    <t>[와이어프레임] HTML 화면정의서 &gt; 3-6-1. 숍스관리 탭_연동완료 &gt; 2-1
[사양 정의서] 메타 비즈니스 연동 &gt; POL-083, POL-011</t>
  </si>
  <si>
    <t>[와이어프레임] HTML 화면정의서 &gt; 3-6-1. 숍스관리 탭_연동완료 &gt; 3 설정 버튼
[사양 정의서] 메타 비즈니스 연동 &gt; POL-083</t>
  </si>
  <si>
    <t>[사양 정의서] 메타 비즈니스 연동 &gt; FR-028, POL-088, INT-011, AC-037
[와이어프레임] HTML 화면정의서 &gt; 3-2-1</t>
  </si>
  <si>
    <t>[사양 정의서] 메타 비즈니스 연동 &gt; FR-030, POL-001, POL-090, INT-012, AC-039
[와이어프레임] HTML 화면정의서 &gt; 3-3-1</t>
  </si>
  <si>
    <t>[사양 정의서] 메타 비즈니스 연동 &gt; FR-002, FR-030, POL-001, POL-088, AC-039
[와이어프레임] HTML 화면정의서 &gt; 3-3-1</t>
  </si>
  <si>
    <t>[사양 정의서] 메타 비즈니스 연동 &gt; FR-028, POL-088, AC-039
[와이어프레임] HTML 화면정의서 &gt; 3-2-1</t>
  </si>
  <si>
    <t>[사양 정의서] 메타 비즈니스 연동 &gt; FR-002, POL-001, CON-001, AC-002
[와이어프레임] HTML 화면정의서 &gt; 3-3-1</t>
  </si>
  <si>
    <t>[Epic] 메타 비즈니스 연동 TC</t>
  </si>
  <si>
    <t>[와이어프레임] HTML 화면정의서 &gt; 3-4-1. 상품피드 탭_연동완료 &gt; 3-7
[Confluence] [정책서] Epic 메타 비즈니스 연동 &gt; 노출 제한 사유</t>
  </si>
  <si>
    <t>[사양 정의서] 메타 비즈니스 연동 &gt; POL-021, OPEN-009(노출제한 결정)
[Confluence] [정책서] Epic 메타 비즈니스 연동 &gt; 노출 제한 사유</t>
  </si>
  <si>
    <t>[Confluence] [정책서] Epic 메타 비즈니스 연동 &gt; 1-4. 권한 정책
[사양 정의서] 메타 비즈니스 연동 &gt; POL-010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</si>
</sst>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24">
    <font>
      <sz val="11"/>
      <name val="Calibri"/>
      <charset val="1"/>
    </font>
    <font>
      <b/>
      <sz val="10"/>
      <color rgb="FFFFFFFF"/>
      <name val="Noto Sans CJK SC"/>
      <family val="2"/>
      <charset val="1"/>
    </font>
    <font>
      <b/>
      <sz val="10"/>
      <color rgb="FF222222"/>
      <name val="Malgun Gothic"/>
      <family val="3"/>
      <charset val="129"/>
    </font>
    <font>
      <sz val="10"/>
      <color rgb="FF222222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0"/>
      <color rgb="FF222222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  <charset val="1"/>
    </font>
    <font>
      <b/>
      <sz val="10"/>
      <color rgb="FF222222"/>
      <name val="Noto Sans CJK SC"/>
      <family val="2"/>
      <charset val="1"/>
    </font>
    <font>
      <b/>
      <sz val="14"/>
      <color rgb="FF222222"/>
      <name val="Malgun Gothic"/>
      <family val="3"/>
      <charset val="129"/>
    </font>
    <font>
      <sz val="10"/>
      <color rgb="FF666666"/>
      <name val="Noto Sans CJK SC"/>
      <family val="2"/>
      <charset val="1"/>
    </font>
    <font>
      <b/>
      <sz val="11"/>
      <color rgb="FF222222"/>
      <name val="Malgun Gothic"/>
      <family val="3"/>
      <charset val="129"/>
    </font>
    <font>
      <i/>
      <sz val="10"/>
      <color rgb="FF808080"/>
      <name val="Noto Sans CJK SC"/>
      <family val="2"/>
      <charset val="1"/>
    </font>
    <font>
      <i/>
      <sz val="10"/>
      <color rgb="FF808080"/>
      <name val="Malgun Gothic"/>
      <family val="3"/>
      <charset val="129"/>
    </font>
    <font>
      <sz val="10"/>
      <color rgb="FF222222"/>
      <name val="Malgun Gothic"/>
      <family val="3"/>
      <charset val="129"/>
    </font>
    <font>
      <sz val="10"/>
      <color rgb="FF666666"/>
      <name val="Malgun Gothic"/>
      <family val="3"/>
      <charset val="129"/>
    </font>
    <font>
      <sz val="10"/>
      <color rgb="FF666666"/>
      <name val="Noto Sans CJK SC"/>
      <family val="2"/>
    </font>
    <font>
      <sz val="8"/>
      <name val="돋움"/>
      <family val="3"/>
      <charset val="129"/>
    </font>
    <font>
      <b/>
      <sz val="10"/>
      <color rgb="FFFFFFFF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3"/>
      <charset val="129"/>
    </font>
    <font>
      <i/>
      <sz val="10"/>
      <color rgb="FF808080"/>
      <name val="Noto Sans CJK SC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808080"/>
        <bgColor rgb="FF666666"/>
      </patternFill>
    </fill>
    <fill>
      <patternFill patternType="solid">
        <fgColor rgb="FFFFF2CC"/>
        <bgColor rgb="FFEEEEEE"/>
      </patternFill>
    </fill>
    <fill>
      <patternFill patternType="solid">
        <fgColor rgb="FFDFEBF6"/>
        <bgColor rgb="FFEEEEEE"/>
      </patternFill>
    </fill>
    <fill>
      <patternFill patternType="solid">
        <fgColor rgb="FFFFFFFF"/>
        <bgColor rgb="FFEEEE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77" fontId="12" fillId="4" borderId="2" xfId="0" applyNumberFormat="1" applyFont="1" applyFill="1" applyBorder="1" applyAlignment="1">
      <alignment horizontal="center" vertical="center" wrapText="1"/>
    </xf>
    <xf numFmtId="1" fontId="12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6" fillId="0" borderId="0" xfId="0" applyFont="1"/>
    <xf numFmtId="0" fontId="23" fillId="5" borderId="2" xfId="0" applyFont="1" applyFill="1" applyBorder="1" applyAlignment="1">
      <alignment vertical="top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표준" xfId="0" builtinId="0"/>
  </cellStyles>
  <dxfs count="7">
    <dxf>
      <font>
        <b/>
        <color rgb="FF9C0006"/>
      </font>
      <fill>
        <patternFill>
          <bgColor rgb="FFF8696B"/>
        </patternFill>
      </fill>
    </dxf>
    <dxf>
      <font>
        <b/>
        <color rgb="FFFFFF00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color rgb="FFFFFFFF"/>
      </font>
      <fill>
        <patternFill>
          <bgColor rgb="FF5B9BD5"/>
        </patternFill>
      </fill>
    </dxf>
    <dxf>
      <font>
        <b/>
        <color rgb="FF202020"/>
      </font>
      <fill>
        <patternFill>
          <bgColor rgb="FFFFC000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EEEEE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5B9BD5"/>
      <rgbColor rgb="FF993366"/>
      <rgbColor rgb="FFFFF2CC"/>
      <rgbColor rgb="FFDFEBF6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70AD47"/>
      <rgbColor rgb="FF003366"/>
      <rgbColor rgb="FF00B050"/>
      <rgbColor rgb="FF003300"/>
      <rgbColor rgb="FF20202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4:N62"/>
  <sheetViews>
    <sheetView showGridLines="0" zoomScaleNormal="100" workbookViewId="0">
      <selection activeCell="E13" sqref="E13:N13"/>
    </sheetView>
  </sheetViews>
  <sheetFormatPr defaultColWidth="8.7109375" defaultRowHeight="15"/>
  <cols>
    <col min="3" max="14" width="12" customWidth="1"/>
  </cols>
  <sheetData>
    <row r="4" spans="3:14" ht="25.5" customHeight="1">
      <c r="C4" s="37" t="s">
        <v>0</v>
      </c>
      <c r="D4" s="37"/>
      <c r="E4" s="38" t="s">
        <v>634</v>
      </c>
      <c r="F4" s="38"/>
      <c r="G4" s="38"/>
      <c r="H4" s="38"/>
      <c r="I4" s="38"/>
      <c r="J4" s="38"/>
      <c r="K4" s="38"/>
      <c r="L4" s="38"/>
      <c r="M4" s="38"/>
      <c r="N4" s="38"/>
    </row>
    <row r="5" spans="3:14" ht="25.5" customHeight="1">
      <c r="C5" s="1" t="s">
        <v>1</v>
      </c>
      <c r="D5" s="39" t="s">
        <v>636</v>
      </c>
      <c r="E5" s="39"/>
      <c r="F5" s="1" t="s">
        <v>2</v>
      </c>
      <c r="G5" s="39"/>
      <c r="H5" s="39"/>
      <c r="I5" s="2" t="s">
        <v>3</v>
      </c>
      <c r="J5" s="39"/>
      <c r="K5" s="39"/>
      <c r="L5" s="1" t="s">
        <v>4</v>
      </c>
      <c r="M5" s="39"/>
      <c r="N5" s="39"/>
    </row>
    <row r="6" spans="3:14" ht="25.5" customHeight="1">
      <c r="C6" s="37" t="s">
        <v>5</v>
      </c>
      <c r="D6" s="37"/>
      <c r="E6" s="38" t="s">
        <v>635</v>
      </c>
      <c r="F6" s="38"/>
      <c r="G6" s="38"/>
      <c r="H6" s="38"/>
      <c r="I6" s="38"/>
      <c r="J6" s="38"/>
      <c r="K6" s="38"/>
      <c r="L6" s="38"/>
      <c r="M6" s="38"/>
      <c r="N6" s="38"/>
    </row>
    <row r="7" spans="3:14" ht="25.5" customHeight="1">
      <c r="C7" s="40" t="s">
        <v>77</v>
      </c>
      <c r="D7" s="37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3:14" ht="25.5" customHeight="1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3:14" ht="25.5" customHeight="1">
      <c r="C9" s="37" t="s">
        <v>6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3:14" ht="25.5" customHeight="1">
      <c r="C10" s="37" t="s">
        <v>7</v>
      </c>
      <c r="D10" s="37"/>
      <c r="E10" s="37" t="s">
        <v>8</v>
      </c>
      <c r="F10" s="37"/>
      <c r="G10" s="37"/>
      <c r="H10" s="37"/>
      <c r="I10" s="37"/>
      <c r="J10" s="37"/>
      <c r="K10" s="37"/>
      <c r="L10" s="37"/>
      <c r="M10" s="37"/>
      <c r="N10" s="37"/>
    </row>
    <row r="11" spans="3:14" ht="25.5" customHeight="1">
      <c r="C11" s="41" t="s">
        <v>513</v>
      </c>
      <c r="D11" s="41"/>
      <c r="E11" s="39" t="s">
        <v>9</v>
      </c>
      <c r="F11" s="39"/>
      <c r="G11" s="39"/>
      <c r="H11" s="39"/>
      <c r="I11" s="39"/>
      <c r="J11" s="39"/>
      <c r="K11" s="39"/>
      <c r="L11" s="39"/>
      <c r="M11" s="39"/>
      <c r="N11" s="39"/>
    </row>
    <row r="12" spans="3:14" ht="25.5" customHeight="1">
      <c r="C12" s="41">
        <v>46322</v>
      </c>
      <c r="D12" s="41"/>
      <c r="E12" s="42" t="s">
        <v>564</v>
      </c>
      <c r="F12" s="42"/>
      <c r="G12" s="42"/>
      <c r="H12" s="42"/>
      <c r="I12" s="42"/>
      <c r="J12" s="42"/>
      <c r="K12" s="42"/>
      <c r="L12" s="42"/>
      <c r="M12" s="42"/>
      <c r="N12" s="42"/>
    </row>
    <row r="13" spans="3:14" ht="25.5" customHeight="1">
      <c r="C13" s="41">
        <v>46322</v>
      </c>
      <c r="D13" s="41"/>
      <c r="E13" s="42" t="s">
        <v>615</v>
      </c>
      <c r="F13" s="42"/>
      <c r="G13" s="42"/>
      <c r="H13" s="42"/>
      <c r="I13" s="42"/>
      <c r="J13" s="42"/>
      <c r="K13" s="42"/>
      <c r="L13" s="42"/>
      <c r="M13" s="42"/>
      <c r="N13" s="42"/>
    </row>
    <row r="14" spans="3:14" ht="25.5" customHeight="1">
      <c r="C14" s="41">
        <v>46322</v>
      </c>
      <c r="D14" s="41"/>
      <c r="E14" s="42" t="s">
        <v>633</v>
      </c>
      <c r="F14" s="42"/>
      <c r="G14" s="42"/>
      <c r="H14" s="42"/>
      <c r="I14" s="42"/>
      <c r="J14" s="42"/>
      <c r="K14" s="42"/>
      <c r="L14" s="42"/>
      <c r="M14" s="42"/>
      <c r="N14" s="42"/>
    </row>
    <row r="15" spans="3:14" ht="25.5" customHeight="1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3:14" ht="25.5" customHeight="1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25.5" customHeight="1">
      <c r="C17" s="37" t="s">
        <v>10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14" ht="25.5" customHeight="1"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ht="25.5" customHeight="1">
      <c r="C19" s="1" t="s">
        <v>11</v>
      </c>
      <c r="D19" s="1" t="s">
        <v>12</v>
      </c>
      <c r="E19" s="37" t="s">
        <v>13</v>
      </c>
      <c r="F19" s="37"/>
      <c r="G19" s="37"/>
      <c r="H19" s="37"/>
      <c r="I19" s="37"/>
      <c r="J19" s="37"/>
      <c r="K19" s="37"/>
      <c r="L19" s="37"/>
      <c r="M19" s="37"/>
      <c r="N19" s="1" t="s">
        <v>14</v>
      </c>
    </row>
    <row r="20" spans="1:14" ht="42" customHeight="1">
      <c r="C20" s="4" t="s">
        <v>15</v>
      </c>
      <c r="D20" s="5" t="s">
        <v>513</v>
      </c>
      <c r="E20" s="42" t="s">
        <v>16</v>
      </c>
      <c r="F20" s="42"/>
      <c r="G20" s="42"/>
      <c r="H20" s="42"/>
      <c r="I20" s="42"/>
      <c r="J20" s="42"/>
      <c r="K20" s="42"/>
      <c r="L20" s="42"/>
      <c r="M20" s="42"/>
      <c r="N20" s="4" t="s">
        <v>636</v>
      </c>
    </row>
    <row r="21" spans="1:14" ht="25.5" customHeight="1">
      <c r="A21" s="6"/>
      <c r="B21" s="6"/>
      <c r="C21" s="4"/>
      <c r="D21" s="5"/>
      <c r="E21" s="42"/>
      <c r="F21" s="42"/>
      <c r="G21" s="42"/>
      <c r="H21" s="42"/>
      <c r="I21" s="42"/>
      <c r="J21" s="42"/>
      <c r="K21" s="42"/>
      <c r="L21" s="42"/>
      <c r="M21" s="42"/>
      <c r="N21" s="4"/>
    </row>
    <row r="22" spans="1:14" ht="25.5" customHeight="1">
      <c r="A22" s="6"/>
      <c r="B22" s="6"/>
      <c r="C22" s="4"/>
      <c r="D22" s="5"/>
      <c r="E22" s="42"/>
      <c r="F22" s="42"/>
      <c r="G22" s="42"/>
      <c r="H22" s="42"/>
      <c r="I22" s="42"/>
      <c r="J22" s="42"/>
      <c r="K22" s="42"/>
      <c r="L22" s="42"/>
      <c r="M22" s="42"/>
      <c r="N22" s="4"/>
    </row>
    <row r="23" spans="1:14" ht="25.5" customHeight="1">
      <c r="A23" s="6"/>
      <c r="B23" s="6"/>
      <c r="C23" s="4"/>
      <c r="D23" s="5"/>
      <c r="E23" s="42"/>
      <c r="F23" s="42"/>
      <c r="G23" s="42"/>
      <c r="H23" s="42"/>
      <c r="I23" s="42"/>
      <c r="J23" s="42"/>
      <c r="K23" s="42"/>
      <c r="L23" s="42"/>
      <c r="M23" s="42"/>
      <c r="N23" s="4"/>
    </row>
    <row r="24" spans="1:14" ht="25.5" customHeight="1">
      <c r="A24" s="6"/>
      <c r="B24" s="6"/>
      <c r="C24" s="4"/>
      <c r="D24" s="5"/>
      <c r="E24" s="42"/>
      <c r="F24" s="42"/>
      <c r="G24" s="42"/>
      <c r="H24" s="42"/>
      <c r="I24" s="42"/>
      <c r="J24" s="42"/>
      <c r="K24" s="42"/>
      <c r="L24" s="42"/>
      <c r="M24" s="42"/>
      <c r="N24" s="4"/>
    </row>
    <row r="25" spans="1:14" ht="25.5" customHeight="1">
      <c r="A25" s="6"/>
      <c r="B25" s="6"/>
      <c r="C25" s="4"/>
      <c r="D25" s="5"/>
      <c r="E25" s="42"/>
      <c r="F25" s="42"/>
      <c r="G25" s="42"/>
      <c r="H25" s="42"/>
      <c r="I25" s="42"/>
      <c r="J25" s="42"/>
      <c r="K25" s="42"/>
      <c r="L25" s="42"/>
      <c r="M25" s="42"/>
      <c r="N25" s="4"/>
    </row>
    <row r="26" spans="1:14" ht="13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3.5" customHeight="1">
      <c r="A27" s="6"/>
      <c r="B27" s="6"/>
      <c r="C27" s="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3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3.5" customHeight="1">
      <c r="A29" s="6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3.5" customHeight="1">
      <c r="A30" s="6"/>
      <c r="B30" s="6"/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3.5" customHeight="1">
      <c r="A31" s="6"/>
      <c r="B31" s="6"/>
      <c r="C31" s="3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3.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3.5" customHeight="1">
      <c r="A33" s="6"/>
      <c r="B33" s="6"/>
      <c r="C33" s="3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3.5" customHeight="1">
      <c r="A35" s="6"/>
      <c r="B35" s="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13.5" customHeight="1">
      <c r="A36" s="6"/>
      <c r="B36" s="6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3.5" customHeight="1">
      <c r="A37" s="6"/>
      <c r="B37" s="6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3.5" customHeight="1">
      <c r="A39" s="6"/>
      <c r="B39" s="6"/>
      <c r="C39" s="3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3.5" customHeight="1">
      <c r="A41" s="6"/>
      <c r="B41" s="6"/>
      <c r="C41" s="3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3.5" customHeight="1">
      <c r="A43" s="6"/>
      <c r="B43" s="6"/>
      <c r="C43" s="3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3.5" customHeight="1">
      <c r="A44" s="6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3.5" customHeight="1">
      <c r="A45" s="6"/>
      <c r="B45" s="6"/>
      <c r="C45" s="3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3.5" customHeight="1">
      <c r="A46" s="6"/>
      <c r="B46" s="6"/>
      <c r="C46" s="3"/>
      <c r="D46" s="6"/>
      <c r="E46" s="3"/>
      <c r="F46" s="6"/>
      <c r="G46" s="6"/>
      <c r="H46" s="6"/>
      <c r="I46" s="6"/>
      <c r="J46" s="6"/>
      <c r="K46" s="6"/>
      <c r="L46" s="6"/>
      <c r="M46" s="6"/>
      <c r="N46" s="6"/>
    </row>
    <row r="47" spans="1:14" ht="13.5" customHeight="1">
      <c r="A47" s="6"/>
      <c r="B47" s="6"/>
      <c r="C47" s="3"/>
      <c r="D47" s="6"/>
      <c r="E47" s="3"/>
      <c r="F47" s="6"/>
      <c r="G47" s="6"/>
      <c r="H47" s="6"/>
      <c r="I47" s="6"/>
      <c r="J47" s="6"/>
      <c r="K47" s="6"/>
      <c r="L47" s="6"/>
      <c r="M47" s="6"/>
      <c r="N47" s="6"/>
    </row>
    <row r="48" spans="1:14" ht="13.5" customHeight="1">
      <c r="A48" s="6"/>
      <c r="B48" s="6"/>
      <c r="C48" s="3"/>
      <c r="D48" s="6"/>
      <c r="E48" s="3"/>
      <c r="F48" s="6"/>
      <c r="G48" s="6"/>
      <c r="H48" s="6"/>
      <c r="I48" s="6"/>
      <c r="J48" s="6"/>
      <c r="K48" s="6"/>
      <c r="L48" s="6"/>
      <c r="M48" s="6"/>
      <c r="N48" s="6"/>
    </row>
    <row r="49" spans="1:14" ht="13.5" customHeight="1">
      <c r="A49" s="6"/>
      <c r="B49" s="6"/>
      <c r="C49" s="3"/>
      <c r="D49" s="6"/>
      <c r="E49" s="3"/>
      <c r="F49" s="6"/>
      <c r="G49" s="6"/>
      <c r="H49" s="6"/>
      <c r="I49" s="6"/>
      <c r="J49" s="6"/>
      <c r="K49" s="6"/>
      <c r="L49" s="6"/>
      <c r="M49" s="6"/>
      <c r="N49" s="6"/>
    </row>
    <row r="50" spans="1:14" ht="13.5" customHeight="1">
      <c r="A50" s="6"/>
      <c r="B50" s="6"/>
      <c r="C50" s="3"/>
      <c r="D50" s="6"/>
      <c r="E50" s="3"/>
      <c r="F50" s="6"/>
      <c r="G50" s="6"/>
      <c r="H50" s="6"/>
      <c r="I50" s="6"/>
      <c r="J50" s="6"/>
      <c r="K50" s="6"/>
      <c r="L50" s="6"/>
      <c r="M50" s="6"/>
      <c r="N50" s="6"/>
    </row>
    <row r="51" spans="1:14" ht="13.5" customHeight="1">
      <c r="A51" s="6"/>
      <c r="B51" s="6"/>
      <c r="C51" s="3"/>
      <c r="D51" s="6"/>
      <c r="E51" s="3"/>
      <c r="F51" s="6"/>
      <c r="G51" s="6"/>
      <c r="H51" s="6"/>
      <c r="I51" s="6"/>
      <c r="J51" s="6"/>
      <c r="K51" s="6"/>
      <c r="L51" s="6"/>
      <c r="M51" s="6"/>
      <c r="N51" s="6"/>
    </row>
    <row r="52" spans="1:14" ht="13.5" customHeight="1">
      <c r="A52" s="6"/>
      <c r="B52" s="6"/>
      <c r="C52" s="3"/>
      <c r="D52" s="6"/>
      <c r="E52" s="3"/>
      <c r="F52" s="6"/>
      <c r="G52" s="6"/>
      <c r="H52" s="6"/>
      <c r="I52" s="6"/>
      <c r="J52" s="6"/>
      <c r="K52" s="6"/>
      <c r="L52" s="6"/>
      <c r="M52" s="6"/>
      <c r="N52" s="6"/>
    </row>
    <row r="53" spans="1:14" ht="13.5" customHeight="1">
      <c r="A53" s="6"/>
      <c r="B53" s="6"/>
      <c r="C53" s="3"/>
      <c r="D53" s="6"/>
      <c r="E53" s="3"/>
      <c r="F53" s="6"/>
      <c r="G53" s="6"/>
      <c r="H53" s="6"/>
      <c r="I53" s="6"/>
      <c r="J53" s="6"/>
      <c r="K53" s="6"/>
      <c r="L53" s="6"/>
      <c r="M53" s="6"/>
      <c r="N53" s="6"/>
    </row>
    <row r="54" spans="1:14" ht="13.5" customHeight="1">
      <c r="A54" s="6"/>
      <c r="B54" s="6"/>
      <c r="C54" s="3"/>
      <c r="D54" s="6"/>
      <c r="E54" s="3"/>
      <c r="F54" s="6"/>
      <c r="G54" s="6"/>
      <c r="H54" s="6"/>
      <c r="I54" s="6"/>
      <c r="J54" s="6"/>
      <c r="K54" s="6"/>
      <c r="L54" s="6"/>
      <c r="M54" s="6"/>
      <c r="N54" s="6"/>
    </row>
    <row r="55" spans="1:14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3.5" customHeight="1">
      <c r="A56" s="6"/>
      <c r="B56" s="6"/>
      <c r="C56" s="3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</sheetData>
  <mergeCells count="29">
    <mergeCell ref="E24:M24"/>
    <mergeCell ref="E25:M25"/>
    <mergeCell ref="E19:M19"/>
    <mergeCell ref="E20:M20"/>
    <mergeCell ref="E21:M21"/>
    <mergeCell ref="E22:M22"/>
    <mergeCell ref="E23:M23"/>
    <mergeCell ref="C13:D13"/>
    <mergeCell ref="E13:N13"/>
    <mergeCell ref="C14:D14"/>
    <mergeCell ref="E14:N14"/>
    <mergeCell ref="C17:N18"/>
    <mergeCell ref="C10:D10"/>
    <mergeCell ref="E10:N10"/>
    <mergeCell ref="C11:D11"/>
    <mergeCell ref="E11:N11"/>
    <mergeCell ref="C12:D12"/>
    <mergeCell ref="E12:N12"/>
    <mergeCell ref="C6:D6"/>
    <mergeCell ref="E6:N6"/>
    <mergeCell ref="C7:D7"/>
    <mergeCell ref="E7:N7"/>
    <mergeCell ref="C9:N9"/>
    <mergeCell ref="C4:D4"/>
    <mergeCell ref="E4:N4"/>
    <mergeCell ref="D5:E5"/>
    <mergeCell ref="G5:H5"/>
    <mergeCell ref="J5:K5"/>
    <mergeCell ref="M5:N5"/>
  </mergeCells>
  <phoneticPr fontId="18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B2:D19"/>
  <sheetViews>
    <sheetView showGridLines="0" zoomScaleNormal="100" workbookViewId="0"/>
  </sheetViews>
  <sheetFormatPr defaultColWidth="8.7109375" defaultRowHeight="15"/>
  <cols>
    <col min="1" max="1" width="3" customWidth="1"/>
    <col min="2" max="2" width="16" customWidth="1"/>
    <col min="3" max="3" width="12" customWidth="1"/>
    <col min="4" max="4" width="75" customWidth="1"/>
    <col min="5" max="5" width="3" customWidth="1"/>
  </cols>
  <sheetData>
    <row r="2" spans="2:4" ht="15" customHeight="1">
      <c r="B2" s="8" t="s">
        <v>17</v>
      </c>
      <c r="C2" s="8" t="s">
        <v>18</v>
      </c>
      <c r="D2" s="9" t="s">
        <v>19</v>
      </c>
    </row>
    <row r="3" spans="2:4" ht="15" customHeight="1">
      <c r="B3" s="10" t="s">
        <v>20</v>
      </c>
      <c r="C3" s="11">
        <f>IF(C12=0,0,(C7+C8+C9+C10+C11)/C12)</f>
        <v>0</v>
      </c>
      <c r="D3" s="12" t="s">
        <v>21</v>
      </c>
    </row>
    <row r="4" spans="2:4" ht="15" customHeight="1">
      <c r="B4" s="10" t="s">
        <v>22</v>
      </c>
      <c r="C4" s="11">
        <f>IF(C12-C11=0,0,(C7+C8)/(C12-C11))</f>
        <v>0</v>
      </c>
      <c r="D4" s="12" t="s">
        <v>23</v>
      </c>
    </row>
    <row r="5" spans="2:4" ht="15" customHeight="1">
      <c r="B5" s="13" t="s">
        <v>24</v>
      </c>
      <c r="C5" s="13">
        <f>COUNTIFS(TC!$J$7:$J$310,B5)+COUNTIFS(TC!$B$7:$B$310,"&lt;&gt;",TC!$J$7:$J$310,"")</f>
        <v>111</v>
      </c>
      <c r="D5" s="12" t="s">
        <v>25</v>
      </c>
    </row>
    <row r="6" spans="2:4" ht="15" customHeight="1">
      <c r="B6" s="14" t="s">
        <v>26</v>
      </c>
      <c r="C6" s="13">
        <f>COUNTIFS(TC!$J$7:$J$310,B6)</f>
        <v>0</v>
      </c>
      <c r="D6" s="12" t="s">
        <v>27</v>
      </c>
    </row>
    <row r="7" spans="2:4" ht="15" customHeight="1">
      <c r="B7" s="13" t="s">
        <v>28</v>
      </c>
      <c r="C7" s="13">
        <f>COUNTIFS(TC!$J$7:$J$310,B7)</f>
        <v>0</v>
      </c>
      <c r="D7" s="12" t="s">
        <v>29</v>
      </c>
    </row>
    <row r="8" spans="2:4" ht="15" customHeight="1">
      <c r="B8" s="13" t="s">
        <v>30</v>
      </c>
      <c r="C8" s="13">
        <f>COUNTIFS(TC!$J$7:$J$310,B8)</f>
        <v>0</v>
      </c>
      <c r="D8" s="12" t="s">
        <v>31</v>
      </c>
    </row>
    <row r="9" spans="2:4" ht="15" customHeight="1">
      <c r="B9" s="13" t="s">
        <v>32</v>
      </c>
      <c r="C9" s="13">
        <f>COUNTIFS(TC!$J$7:$J$310,B9)</f>
        <v>0</v>
      </c>
      <c r="D9" s="12" t="s">
        <v>33</v>
      </c>
    </row>
    <row r="10" spans="2:4" ht="15" customHeight="1">
      <c r="B10" s="13" t="s">
        <v>34</v>
      </c>
      <c r="C10" s="13">
        <f>COUNTIFS(TC!$J$7:$J$310,B10)</f>
        <v>0</v>
      </c>
      <c r="D10" s="12" t="s">
        <v>35</v>
      </c>
    </row>
    <row r="11" spans="2:4" ht="15" customHeight="1">
      <c r="B11" s="15" t="s">
        <v>36</v>
      </c>
      <c r="C11" s="13">
        <f>COUNTIFS(TC!$J$7:$J$310,B11)</f>
        <v>0</v>
      </c>
      <c r="D11" s="12" t="s">
        <v>37</v>
      </c>
    </row>
    <row r="12" spans="2:4" ht="15" customHeight="1">
      <c r="B12" s="10" t="s">
        <v>38</v>
      </c>
      <c r="C12" s="16">
        <f>SUM(C5:C11)</f>
        <v>111</v>
      </c>
      <c r="D12" s="17" t="s">
        <v>39</v>
      </c>
    </row>
    <row r="14" spans="2:4" ht="15" customHeight="1">
      <c r="B14" s="9" t="s">
        <v>40</v>
      </c>
      <c r="C14" s="8" t="s">
        <v>18</v>
      </c>
      <c r="D14" s="9" t="s">
        <v>19</v>
      </c>
    </row>
    <row r="15" spans="2:4" ht="15" customHeight="1">
      <c r="B15" s="13" t="s">
        <v>41</v>
      </c>
      <c r="C15" s="13">
        <f>COUNTIFS(TC!$L$7:$L$310,B15)</f>
        <v>18</v>
      </c>
      <c r="D15" s="12" t="s">
        <v>42</v>
      </c>
    </row>
    <row r="16" spans="2:4" ht="15" customHeight="1">
      <c r="B16" s="13" t="s">
        <v>43</v>
      </c>
      <c r="C16" s="13">
        <f>COUNTIFS(TC!$L$7:$L$310,B16)</f>
        <v>49</v>
      </c>
      <c r="D16" s="12" t="s">
        <v>44</v>
      </c>
    </row>
    <row r="17" spans="2:4" ht="15" customHeight="1">
      <c r="B17" s="13" t="s">
        <v>45</v>
      </c>
      <c r="C17" s="13">
        <f>COUNTIFS(TC!$L$7:$L$310,B17)</f>
        <v>44</v>
      </c>
      <c r="D17" s="12" t="s">
        <v>46</v>
      </c>
    </row>
    <row r="19" spans="2:4">
      <c r="B19" s="10" t="s">
        <v>47</v>
      </c>
      <c r="C19" s="13" t="str">
        <f>IF(AND(C12&gt;0,C5+C6+C9+C10=0),"충족","미충족")</f>
        <v>미충족</v>
      </c>
      <c r="D19" s="12" t="s">
        <v>48</v>
      </c>
    </row>
  </sheetData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B9BD5"/>
  </sheetPr>
  <dimension ref="A1:M310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ColWidth="8.7109375" defaultRowHeight="15"/>
  <cols>
    <col min="1" max="1" width="30" customWidth="1"/>
    <col min="2" max="2" width="14" customWidth="1"/>
    <col min="3" max="3" width="16" customWidth="1"/>
    <col min="4" max="5" width="24" customWidth="1"/>
    <col min="6" max="6" width="45" customWidth="1"/>
    <col min="7" max="8" width="55" customWidth="1"/>
    <col min="9" max="9" width="35" customWidth="1"/>
    <col min="10" max="10" width="15" customWidth="1"/>
    <col min="11" max="11" width="35" customWidth="1"/>
    <col min="12" max="12" width="10" customWidth="1"/>
    <col min="13" max="13" width="14" customWidth="1"/>
  </cols>
  <sheetData>
    <row r="1" spans="1:13" ht="27.75" customHeight="1">
      <c r="A1" s="35" t="s">
        <v>740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30" customHeight="1">
      <c r="A2" s="36" t="s">
        <v>49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1.75" customHeight="1">
      <c r="A3" s="18" t="s">
        <v>50</v>
      </c>
      <c r="B3" s="19" t="s">
        <v>22</v>
      </c>
      <c r="C3" s="19" t="s">
        <v>51</v>
      </c>
      <c r="D3" s="20" t="s">
        <v>52</v>
      </c>
      <c r="E3" s="20" t="s">
        <v>53</v>
      </c>
      <c r="F3" s="19" t="s">
        <v>54</v>
      </c>
    </row>
    <row r="4" spans="1:13" ht="24" customHeight="1">
      <c r="A4" s="21">
        <f>Summary!C3</f>
        <v>0</v>
      </c>
      <c r="B4" s="21">
        <f>Summary!C4</f>
        <v>0</v>
      </c>
      <c r="C4" s="22">
        <f>Summary!C12</f>
        <v>111</v>
      </c>
      <c r="D4" s="22">
        <f>Summary!C7+Summary!C8</f>
        <v>0</v>
      </c>
      <c r="E4" s="22">
        <f>Summary!C9+Summary!C10</f>
        <v>0</v>
      </c>
      <c r="F4" s="22">
        <f>Summary!C5+Summary!C6</f>
        <v>111</v>
      </c>
    </row>
    <row r="5" spans="1:13" ht="9.75" customHeight="1"/>
    <row r="6" spans="1:13" ht="39.75" customHeight="1">
      <c r="A6" s="18" t="s">
        <v>55</v>
      </c>
      <c r="B6" s="20" t="s">
        <v>56</v>
      </c>
      <c r="C6" s="20" t="s">
        <v>57</v>
      </c>
      <c r="D6" s="20" t="s">
        <v>78</v>
      </c>
      <c r="E6" s="20" t="s">
        <v>79</v>
      </c>
      <c r="F6" s="20" t="s">
        <v>58</v>
      </c>
      <c r="G6" s="20" t="s">
        <v>59</v>
      </c>
      <c r="H6" s="20" t="s">
        <v>60</v>
      </c>
      <c r="I6" s="20" t="s">
        <v>61</v>
      </c>
      <c r="J6" s="20" t="s">
        <v>62</v>
      </c>
      <c r="K6" s="20" t="s">
        <v>63</v>
      </c>
      <c r="L6" s="18" t="s">
        <v>40</v>
      </c>
      <c r="M6" s="18" t="s">
        <v>64</v>
      </c>
    </row>
    <row r="7" spans="1:13" ht="81" customHeight="1">
      <c r="A7" s="23" t="s">
        <v>685</v>
      </c>
      <c r="B7" s="24" t="s">
        <v>80</v>
      </c>
      <c r="C7" s="25" t="s">
        <v>81</v>
      </c>
      <c r="D7" s="26" t="s">
        <v>82</v>
      </c>
      <c r="E7" s="26" t="s">
        <v>83</v>
      </c>
      <c r="F7" s="34" t="s">
        <v>514</v>
      </c>
      <c r="G7" s="26" t="s">
        <v>84</v>
      </c>
      <c r="H7" s="23" t="s">
        <v>85</v>
      </c>
      <c r="I7" s="27"/>
      <c r="J7" s="28"/>
      <c r="K7" s="27"/>
      <c r="L7" s="24" t="s">
        <v>45</v>
      </c>
      <c r="M7" s="28"/>
    </row>
    <row r="8" spans="1:13" ht="111" customHeight="1">
      <c r="A8" s="23" t="s">
        <v>686</v>
      </c>
      <c r="B8" s="24" t="s">
        <v>86</v>
      </c>
      <c r="C8" s="25" t="s">
        <v>81</v>
      </c>
      <c r="D8" s="26" t="s">
        <v>87</v>
      </c>
      <c r="E8" s="26" t="s">
        <v>88</v>
      </c>
      <c r="F8" s="34" t="s">
        <v>89</v>
      </c>
      <c r="G8" s="26" t="s">
        <v>90</v>
      </c>
      <c r="H8" s="23" t="s">
        <v>91</v>
      </c>
      <c r="I8" s="27"/>
      <c r="J8" s="28"/>
      <c r="K8" s="27"/>
      <c r="L8" s="24" t="s">
        <v>45</v>
      </c>
      <c r="M8" s="28"/>
    </row>
    <row r="9" spans="1:13" ht="111" customHeight="1">
      <c r="A9" s="23" t="s">
        <v>686</v>
      </c>
      <c r="B9" s="24" t="s">
        <v>92</v>
      </c>
      <c r="C9" s="25" t="s">
        <v>81</v>
      </c>
      <c r="D9" s="26" t="s">
        <v>87</v>
      </c>
      <c r="E9" s="26" t="s">
        <v>93</v>
      </c>
      <c r="F9" s="34" t="s">
        <v>94</v>
      </c>
      <c r="G9" s="26" t="s">
        <v>95</v>
      </c>
      <c r="H9" s="23" t="s">
        <v>96</v>
      </c>
      <c r="I9" s="27"/>
      <c r="J9" s="28"/>
      <c r="K9" s="27"/>
      <c r="L9" s="24" t="s">
        <v>45</v>
      </c>
      <c r="M9" s="28"/>
    </row>
    <row r="10" spans="1:13" ht="111" customHeight="1">
      <c r="A10" s="23" t="s">
        <v>687</v>
      </c>
      <c r="B10" s="24" t="s">
        <v>97</v>
      </c>
      <c r="C10" s="25" t="s">
        <v>81</v>
      </c>
      <c r="D10" s="26" t="s">
        <v>98</v>
      </c>
      <c r="E10" s="26" t="s">
        <v>99</v>
      </c>
      <c r="F10" s="34" t="s">
        <v>89</v>
      </c>
      <c r="G10" s="26" t="s">
        <v>100</v>
      </c>
      <c r="H10" s="23" t="s">
        <v>101</v>
      </c>
      <c r="I10" s="27"/>
      <c r="J10" s="28"/>
      <c r="K10" s="27"/>
      <c r="L10" s="24" t="s">
        <v>43</v>
      </c>
      <c r="M10" s="28"/>
    </row>
    <row r="11" spans="1:13" ht="111" customHeight="1">
      <c r="A11" s="23" t="s">
        <v>688</v>
      </c>
      <c r="B11" s="24" t="s">
        <v>102</v>
      </c>
      <c r="C11" s="25" t="s">
        <v>81</v>
      </c>
      <c r="D11" s="26" t="s">
        <v>103</v>
      </c>
      <c r="E11" s="26" t="s">
        <v>515</v>
      </c>
      <c r="F11" s="34" t="s">
        <v>89</v>
      </c>
      <c r="G11" s="26" t="s">
        <v>516</v>
      </c>
      <c r="H11" s="23" t="s">
        <v>517</v>
      </c>
      <c r="I11" s="27"/>
      <c r="J11" s="28"/>
      <c r="K11" s="27"/>
      <c r="L11" s="24" t="s">
        <v>41</v>
      </c>
      <c r="M11" s="28"/>
    </row>
    <row r="12" spans="1:13" ht="111" customHeight="1">
      <c r="A12" s="23" t="s">
        <v>689</v>
      </c>
      <c r="B12" s="24" t="s">
        <v>104</v>
      </c>
      <c r="C12" s="25" t="s">
        <v>81</v>
      </c>
      <c r="D12" s="26" t="s">
        <v>103</v>
      </c>
      <c r="E12" s="26" t="s">
        <v>105</v>
      </c>
      <c r="F12" s="34" t="s">
        <v>106</v>
      </c>
      <c r="G12" s="26" t="s">
        <v>518</v>
      </c>
      <c r="H12" s="23" t="s">
        <v>107</v>
      </c>
      <c r="I12" s="27"/>
      <c r="J12" s="28"/>
      <c r="K12" s="27"/>
      <c r="L12" s="24" t="s">
        <v>41</v>
      </c>
      <c r="M12" s="28"/>
    </row>
    <row r="13" spans="1:13" ht="111" customHeight="1">
      <c r="A13" s="23" t="s">
        <v>690</v>
      </c>
      <c r="B13" s="24" t="s">
        <v>108</v>
      </c>
      <c r="C13" s="25" t="s">
        <v>81</v>
      </c>
      <c r="D13" s="26" t="s">
        <v>103</v>
      </c>
      <c r="E13" s="26" t="s">
        <v>109</v>
      </c>
      <c r="F13" s="34" t="s">
        <v>110</v>
      </c>
      <c r="G13" s="26" t="s">
        <v>111</v>
      </c>
      <c r="H13" s="23" t="s">
        <v>112</v>
      </c>
      <c r="I13" s="27"/>
      <c r="J13" s="28"/>
      <c r="K13" s="27"/>
      <c r="L13" s="24" t="s">
        <v>43</v>
      </c>
      <c r="M13" s="28"/>
    </row>
    <row r="14" spans="1:13" ht="96" customHeight="1">
      <c r="A14" s="23" t="s">
        <v>691</v>
      </c>
      <c r="B14" s="24" t="s">
        <v>113</v>
      </c>
      <c r="C14" s="25" t="s">
        <v>81</v>
      </c>
      <c r="D14" s="26" t="s">
        <v>103</v>
      </c>
      <c r="E14" s="26" t="s">
        <v>114</v>
      </c>
      <c r="F14" s="34" t="s">
        <v>115</v>
      </c>
      <c r="G14" s="26" t="s">
        <v>519</v>
      </c>
      <c r="H14" s="23" t="s">
        <v>116</v>
      </c>
      <c r="I14" s="27"/>
      <c r="J14" s="28"/>
      <c r="K14" s="27"/>
      <c r="L14" s="24" t="s">
        <v>43</v>
      </c>
      <c r="M14" s="28"/>
    </row>
    <row r="15" spans="1:13" ht="81" customHeight="1">
      <c r="A15" s="23" t="s">
        <v>637</v>
      </c>
      <c r="B15" s="24" t="s">
        <v>117</v>
      </c>
      <c r="C15" s="25" t="s">
        <v>81</v>
      </c>
      <c r="D15" s="26" t="s">
        <v>103</v>
      </c>
      <c r="E15" s="26" t="s">
        <v>118</v>
      </c>
      <c r="F15" s="34" t="s">
        <v>89</v>
      </c>
      <c r="G15" s="26" t="s">
        <v>520</v>
      </c>
      <c r="H15" s="23" t="s">
        <v>119</v>
      </c>
      <c r="I15" s="27"/>
      <c r="J15" s="28"/>
      <c r="K15" s="27"/>
      <c r="L15" s="24" t="s">
        <v>41</v>
      </c>
      <c r="M15" s="28"/>
    </row>
    <row r="16" spans="1:13" ht="81" customHeight="1">
      <c r="A16" s="23" t="s">
        <v>638</v>
      </c>
      <c r="B16" s="24" t="s">
        <v>120</v>
      </c>
      <c r="C16" s="25" t="s">
        <v>81</v>
      </c>
      <c r="D16" s="26" t="s">
        <v>103</v>
      </c>
      <c r="E16" s="26" t="s">
        <v>121</v>
      </c>
      <c r="F16" s="34" t="s">
        <v>122</v>
      </c>
      <c r="G16" s="26" t="s">
        <v>521</v>
      </c>
      <c r="H16" s="23" t="s">
        <v>123</v>
      </c>
      <c r="I16" s="27"/>
      <c r="J16" s="28"/>
      <c r="K16" s="27"/>
      <c r="L16" s="24" t="s">
        <v>41</v>
      </c>
      <c r="M16" s="28"/>
    </row>
    <row r="17" spans="1:13" ht="66" customHeight="1">
      <c r="A17" s="23" t="s">
        <v>639</v>
      </c>
      <c r="B17" s="24" t="s">
        <v>124</v>
      </c>
      <c r="C17" s="25" t="s">
        <v>81</v>
      </c>
      <c r="D17" s="26" t="s">
        <v>103</v>
      </c>
      <c r="E17" s="26" t="s">
        <v>125</v>
      </c>
      <c r="F17" s="34" t="s">
        <v>89</v>
      </c>
      <c r="G17" s="26" t="s">
        <v>522</v>
      </c>
      <c r="H17" s="23" t="s">
        <v>126</v>
      </c>
      <c r="I17" s="27"/>
      <c r="J17" s="28"/>
      <c r="K17" s="27"/>
      <c r="L17" s="24" t="s">
        <v>45</v>
      </c>
      <c r="M17" s="28"/>
    </row>
    <row r="18" spans="1:13" ht="96" customHeight="1">
      <c r="A18" s="23" t="s">
        <v>692</v>
      </c>
      <c r="B18" s="24" t="s">
        <v>127</v>
      </c>
      <c r="C18" s="25" t="s">
        <v>81</v>
      </c>
      <c r="D18" s="26" t="s">
        <v>103</v>
      </c>
      <c r="E18" s="26" t="s">
        <v>128</v>
      </c>
      <c r="F18" s="34" t="s">
        <v>545</v>
      </c>
      <c r="G18" s="26" t="s">
        <v>129</v>
      </c>
      <c r="H18" s="23" t="s">
        <v>130</v>
      </c>
      <c r="I18" s="27"/>
      <c r="J18" s="28"/>
      <c r="K18" s="27"/>
      <c r="L18" s="24" t="s">
        <v>45</v>
      </c>
      <c r="M18" s="28"/>
    </row>
    <row r="19" spans="1:13" ht="96" customHeight="1">
      <c r="A19" s="23" t="s">
        <v>693</v>
      </c>
      <c r="B19" s="24" t="s">
        <v>131</v>
      </c>
      <c r="C19" s="25" t="s">
        <v>81</v>
      </c>
      <c r="D19" s="26" t="s">
        <v>103</v>
      </c>
      <c r="E19" s="26" t="s">
        <v>132</v>
      </c>
      <c r="F19" s="34" t="s">
        <v>110</v>
      </c>
      <c r="G19" s="26" t="s">
        <v>133</v>
      </c>
      <c r="H19" s="23" t="s">
        <v>134</v>
      </c>
      <c r="I19" s="27"/>
      <c r="J19" s="28"/>
      <c r="K19" s="27"/>
      <c r="L19" s="24" t="s">
        <v>45</v>
      </c>
      <c r="M19" s="28"/>
    </row>
    <row r="20" spans="1:13" ht="81" customHeight="1">
      <c r="A20" s="23" t="s">
        <v>640</v>
      </c>
      <c r="B20" s="24" t="s">
        <v>135</v>
      </c>
      <c r="C20" s="25" t="s">
        <v>81</v>
      </c>
      <c r="D20" s="26" t="s">
        <v>103</v>
      </c>
      <c r="E20" s="26" t="s">
        <v>136</v>
      </c>
      <c r="F20" s="34" t="s">
        <v>137</v>
      </c>
      <c r="G20" s="26" t="s">
        <v>138</v>
      </c>
      <c r="H20" s="23" t="s">
        <v>139</v>
      </c>
      <c r="I20" s="27"/>
      <c r="J20" s="28"/>
      <c r="K20" s="27"/>
      <c r="L20" s="24" t="s">
        <v>43</v>
      </c>
      <c r="M20" s="28"/>
    </row>
    <row r="21" spans="1:13" ht="96" customHeight="1">
      <c r="A21" s="23" t="s">
        <v>641</v>
      </c>
      <c r="B21" s="24" t="s">
        <v>140</v>
      </c>
      <c r="C21" s="25" t="s">
        <v>81</v>
      </c>
      <c r="D21" s="26" t="s">
        <v>141</v>
      </c>
      <c r="E21" s="26" t="s">
        <v>142</v>
      </c>
      <c r="F21" s="34" t="s">
        <v>143</v>
      </c>
      <c r="G21" s="26" t="s">
        <v>144</v>
      </c>
      <c r="H21" s="23" t="s">
        <v>145</v>
      </c>
      <c r="I21" s="27"/>
      <c r="J21" s="28"/>
      <c r="K21" s="27"/>
      <c r="L21" s="24" t="s">
        <v>43</v>
      </c>
      <c r="M21" s="28"/>
    </row>
    <row r="22" spans="1:13" ht="126" customHeight="1">
      <c r="A22" s="23" t="s">
        <v>694</v>
      </c>
      <c r="B22" s="24" t="s">
        <v>146</v>
      </c>
      <c r="C22" s="25" t="s">
        <v>81</v>
      </c>
      <c r="D22" s="26" t="s">
        <v>103</v>
      </c>
      <c r="E22" s="26" t="s">
        <v>147</v>
      </c>
      <c r="F22" s="34" t="s">
        <v>110</v>
      </c>
      <c r="G22" s="26" t="s">
        <v>148</v>
      </c>
      <c r="H22" s="23" t="s">
        <v>149</v>
      </c>
      <c r="I22" s="27"/>
      <c r="J22" s="28"/>
      <c r="K22" s="27"/>
      <c r="L22" s="24" t="s">
        <v>41</v>
      </c>
      <c r="M22" s="28"/>
    </row>
    <row r="23" spans="1:13" ht="96" customHeight="1">
      <c r="A23" s="23" t="s">
        <v>695</v>
      </c>
      <c r="B23" s="24" t="s">
        <v>150</v>
      </c>
      <c r="C23" s="25" t="s">
        <v>81</v>
      </c>
      <c r="D23" s="26" t="s">
        <v>103</v>
      </c>
      <c r="E23" s="26" t="s">
        <v>151</v>
      </c>
      <c r="F23" s="34" t="s">
        <v>110</v>
      </c>
      <c r="G23" s="26" t="s">
        <v>152</v>
      </c>
      <c r="H23" s="23" t="s">
        <v>153</v>
      </c>
      <c r="I23" s="27"/>
      <c r="J23" s="28"/>
      <c r="K23" s="27"/>
      <c r="L23" s="24" t="s">
        <v>45</v>
      </c>
      <c r="M23" s="28"/>
    </row>
    <row r="24" spans="1:13" ht="111" customHeight="1">
      <c r="A24" s="23" t="s">
        <v>696</v>
      </c>
      <c r="B24" s="24" t="s">
        <v>154</v>
      </c>
      <c r="C24" s="25" t="s">
        <v>81</v>
      </c>
      <c r="D24" s="26" t="s">
        <v>103</v>
      </c>
      <c r="E24" s="26" t="s">
        <v>155</v>
      </c>
      <c r="F24" s="34" t="s">
        <v>156</v>
      </c>
      <c r="G24" s="26" t="s">
        <v>148</v>
      </c>
      <c r="H24" s="23" t="s">
        <v>157</v>
      </c>
      <c r="I24" s="27"/>
      <c r="J24" s="28"/>
      <c r="K24" s="27"/>
      <c r="L24" s="24" t="s">
        <v>43</v>
      </c>
      <c r="M24" s="28"/>
    </row>
    <row r="25" spans="1:13" ht="111" customHeight="1">
      <c r="A25" s="23" t="s">
        <v>697</v>
      </c>
      <c r="B25" s="24" t="s">
        <v>158</v>
      </c>
      <c r="C25" s="25" t="s">
        <v>81</v>
      </c>
      <c r="D25" s="26" t="s">
        <v>103</v>
      </c>
      <c r="E25" s="26" t="s">
        <v>159</v>
      </c>
      <c r="F25" s="34" t="s">
        <v>160</v>
      </c>
      <c r="G25" s="26" t="s">
        <v>148</v>
      </c>
      <c r="H25" s="23" t="s">
        <v>161</v>
      </c>
      <c r="I25" s="27"/>
      <c r="J25" s="28"/>
      <c r="K25" s="27"/>
      <c r="L25" s="24" t="s">
        <v>43</v>
      </c>
      <c r="M25" s="28"/>
    </row>
    <row r="26" spans="1:13" ht="66" customHeight="1">
      <c r="A26" s="23" t="s">
        <v>642</v>
      </c>
      <c r="B26" s="24" t="s">
        <v>162</v>
      </c>
      <c r="C26" s="25" t="s">
        <v>81</v>
      </c>
      <c r="D26" s="26" t="s">
        <v>103</v>
      </c>
      <c r="E26" s="26" t="s">
        <v>163</v>
      </c>
      <c r="F26" s="34" t="s">
        <v>110</v>
      </c>
      <c r="G26" s="26" t="s">
        <v>164</v>
      </c>
      <c r="H26" s="23" t="s">
        <v>165</v>
      </c>
      <c r="I26" s="27"/>
      <c r="J26" s="28"/>
      <c r="K26" s="27"/>
      <c r="L26" s="24" t="s">
        <v>45</v>
      </c>
      <c r="M26" s="28"/>
    </row>
    <row r="27" spans="1:13" ht="96" customHeight="1">
      <c r="A27" s="23" t="s">
        <v>698</v>
      </c>
      <c r="B27" s="24" t="s">
        <v>166</v>
      </c>
      <c r="C27" s="25" t="s">
        <v>81</v>
      </c>
      <c r="D27" s="26" t="s">
        <v>103</v>
      </c>
      <c r="E27" s="26" t="s">
        <v>167</v>
      </c>
      <c r="F27" s="34" t="s">
        <v>168</v>
      </c>
      <c r="G27" s="26" t="s">
        <v>169</v>
      </c>
      <c r="H27" s="23" t="s">
        <v>170</v>
      </c>
      <c r="I27" s="27"/>
      <c r="J27" s="28"/>
      <c r="K27" s="27"/>
      <c r="L27" s="24" t="s">
        <v>45</v>
      </c>
      <c r="M27" s="28"/>
    </row>
    <row r="28" spans="1:13" ht="96" customHeight="1">
      <c r="A28" s="23" t="s">
        <v>699</v>
      </c>
      <c r="B28" s="24" t="s">
        <v>171</v>
      </c>
      <c r="C28" s="25" t="s">
        <v>81</v>
      </c>
      <c r="D28" s="26" t="s">
        <v>103</v>
      </c>
      <c r="E28" s="26" t="s">
        <v>172</v>
      </c>
      <c r="F28" s="34" t="s">
        <v>173</v>
      </c>
      <c r="G28" s="26" t="s">
        <v>138</v>
      </c>
      <c r="H28" s="23" t="s">
        <v>174</v>
      </c>
      <c r="I28" s="27"/>
      <c r="J28" s="28"/>
      <c r="K28" s="27"/>
      <c r="L28" s="24" t="s">
        <v>45</v>
      </c>
      <c r="M28" s="28"/>
    </row>
    <row r="29" spans="1:13" ht="111" customHeight="1">
      <c r="A29" s="23" t="s">
        <v>700</v>
      </c>
      <c r="B29" s="24" t="s">
        <v>175</v>
      </c>
      <c r="C29" s="25" t="s">
        <v>81</v>
      </c>
      <c r="D29" s="26" t="s">
        <v>103</v>
      </c>
      <c r="E29" s="26" t="s">
        <v>176</v>
      </c>
      <c r="F29" s="34" t="s">
        <v>177</v>
      </c>
      <c r="G29" s="26" t="s">
        <v>178</v>
      </c>
      <c r="H29" s="23" t="s">
        <v>179</v>
      </c>
      <c r="I29" s="27"/>
      <c r="J29" s="28"/>
      <c r="K29" s="27"/>
      <c r="L29" s="24" t="s">
        <v>45</v>
      </c>
      <c r="M29" s="28"/>
    </row>
    <row r="30" spans="1:13" ht="126" customHeight="1">
      <c r="A30" s="23" t="s">
        <v>701</v>
      </c>
      <c r="B30" s="24" t="s">
        <v>180</v>
      </c>
      <c r="C30" s="25" t="s">
        <v>81</v>
      </c>
      <c r="D30" s="26" t="s">
        <v>103</v>
      </c>
      <c r="E30" s="26" t="s">
        <v>181</v>
      </c>
      <c r="F30" s="34" t="s">
        <v>182</v>
      </c>
      <c r="G30" s="26" t="s">
        <v>183</v>
      </c>
      <c r="H30" s="23" t="s">
        <v>184</v>
      </c>
      <c r="I30" s="27"/>
      <c r="J30" s="28"/>
      <c r="K30" s="27"/>
      <c r="L30" s="24" t="s">
        <v>41</v>
      </c>
      <c r="M30" s="28"/>
    </row>
    <row r="31" spans="1:13" ht="111" customHeight="1">
      <c r="A31" s="23" t="s">
        <v>702</v>
      </c>
      <c r="B31" s="24" t="s">
        <v>185</v>
      </c>
      <c r="C31" s="25" t="s">
        <v>81</v>
      </c>
      <c r="D31" s="26" t="s">
        <v>103</v>
      </c>
      <c r="E31" s="26" t="s">
        <v>186</v>
      </c>
      <c r="F31" s="34" t="s">
        <v>187</v>
      </c>
      <c r="G31" s="26" t="s">
        <v>188</v>
      </c>
      <c r="H31" s="23" t="s">
        <v>189</v>
      </c>
      <c r="I31" s="27"/>
      <c r="J31" s="28"/>
      <c r="K31" s="27"/>
      <c r="L31" s="24" t="s">
        <v>43</v>
      </c>
      <c r="M31" s="28"/>
    </row>
    <row r="32" spans="1:13" ht="111" customHeight="1">
      <c r="A32" s="23" t="s">
        <v>703</v>
      </c>
      <c r="B32" s="24" t="s">
        <v>190</v>
      </c>
      <c r="C32" s="25" t="s">
        <v>81</v>
      </c>
      <c r="D32" s="26" t="s">
        <v>103</v>
      </c>
      <c r="E32" s="26" t="s">
        <v>191</v>
      </c>
      <c r="F32" s="34" t="s">
        <v>187</v>
      </c>
      <c r="G32" s="26" t="s">
        <v>192</v>
      </c>
      <c r="H32" s="23" t="s">
        <v>193</v>
      </c>
      <c r="I32" s="27"/>
      <c r="J32" s="28"/>
      <c r="K32" s="27"/>
      <c r="L32" s="24" t="s">
        <v>45</v>
      </c>
      <c r="M32" s="28"/>
    </row>
    <row r="33" spans="1:13" ht="111" customHeight="1">
      <c r="A33" s="23" t="s">
        <v>704</v>
      </c>
      <c r="B33" s="24" t="s">
        <v>194</v>
      </c>
      <c r="C33" s="25" t="s">
        <v>81</v>
      </c>
      <c r="D33" s="26" t="s">
        <v>103</v>
      </c>
      <c r="E33" s="26" t="s">
        <v>195</v>
      </c>
      <c r="F33" s="34" t="s">
        <v>187</v>
      </c>
      <c r="G33" s="26" t="s">
        <v>196</v>
      </c>
      <c r="H33" s="23" t="s">
        <v>197</v>
      </c>
      <c r="I33" s="27"/>
      <c r="J33" s="28"/>
      <c r="K33" s="27"/>
      <c r="L33" s="24" t="s">
        <v>45</v>
      </c>
      <c r="M33" s="28"/>
    </row>
    <row r="34" spans="1:13" ht="111" customHeight="1">
      <c r="A34" s="23" t="s">
        <v>705</v>
      </c>
      <c r="B34" s="24" t="s">
        <v>198</v>
      </c>
      <c r="C34" s="25" t="s">
        <v>81</v>
      </c>
      <c r="D34" s="26" t="s">
        <v>103</v>
      </c>
      <c r="E34" s="26" t="s">
        <v>199</v>
      </c>
      <c r="F34" s="34" t="s">
        <v>200</v>
      </c>
      <c r="G34" s="26" t="s">
        <v>201</v>
      </c>
      <c r="H34" s="23" t="s">
        <v>202</v>
      </c>
      <c r="I34" s="27"/>
      <c r="J34" s="28"/>
      <c r="K34" s="27"/>
      <c r="L34" s="24" t="s">
        <v>45</v>
      </c>
      <c r="M34" s="28"/>
    </row>
    <row r="35" spans="1:13" ht="111" customHeight="1">
      <c r="A35" s="23" t="s">
        <v>706</v>
      </c>
      <c r="B35" s="24" t="s">
        <v>203</v>
      </c>
      <c r="C35" s="25" t="s">
        <v>81</v>
      </c>
      <c r="D35" s="26" t="s">
        <v>103</v>
      </c>
      <c r="E35" s="26" t="s">
        <v>204</v>
      </c>
      <c r="F35" s="34" t="s">
        <v>205</v>
      </c>
      <c r="G35" s="26" t="s">
        <v>206</v>
      </c>
      <c r="H35" s="23" t="s">
        <v>207</v>
      </c>
      <c r="I35" s="27"/>
      <c r="J35" s="28"/>
      <c r="K35" s="27"/>
      <c r="L35" s="24" t="s">
        <v>45</v>
      </c>
      <c r="M35" s="28"/>
    </row>
    <row r="36" spans="1:13" ht="81" customHeight="1">
      <c r="A36" s="23" t="s">
        <v>643</v>
      </c>
      <c r="B36" s="24" t="s">
        <v>208</v>
      </c>
      <c r="C36" s="25" t="s">
        <v>81</v>
      </c>
      <c r="D36" s="26" t="s">
        <v>103</v>
      </c>
      <c r="E36" s="26" t="s">
        <v>209</v>
      </c>
      <c r="F36" s="34" t="s">
        <v>210</v>
      </c>
      <c r="G36" s="26" t="s">
        <v>211</v>
      </c>
      <c r="H36" s="23" t="s">
        <v>212</v>
      </c>
      <c r="I36" s="27"/>
      <c r="J36" s="28"/>
      <c r="K36" s="27"/>
      <c r="L36" s="24" t="s">
        <v>45</v>
      </c>
      <c r="M36" s="28"/>
    </row>
    <row r="37" spans="1:13" ht="111" customHeight="1">
      <c r="A37" s="23" t="s">
        <v>707</v>
      </c>
      <c r="B37" s="24" t="s">
        <v>213</v>
      </c>
      <c r="C37" s="25" t="s">
        <v>81</v>
      </c>
      <c r="D37" s="26" t="s">
        <v>214</v>
      </c>
      <c r="E37" s="26" t="s">
        <v>215</v>
      </c>
      <c r="F37" s="34" t="s">
        <v>216</v>
      </c>
      <c r="G37" s="26" t="s">
        <v>217</v>
      </c>
      <c r="H37" s="23" t="s">
        <v>218</v>
      </c>
      <c r="I37" s="27"/>
      <c r="J37" s="28"/>
      <c r="K37" s="27"/>
      <c r="L37" s="24" t="s">
        <v>41</v>
      </c>
      <c r="M37" s="28"/>
    </row>
    <row r="38" spans="1:13" ht="96" customHeight="1">
      <c r="A38" s="23" t="s">
        <v>708</v>
      </c>
      <c r="B38" s="24" t="s">
        <v>219</v>
      </c>
      <c r="C38" s="25" t="s">
        <v>81</v>
      </c>
      <c r="D38" s="26" t="s">
        <v>214</v>
      </c>
      <c r="E38" s="26" t="s">
        <v>220</v>
      </c>
      <c r="F38" s="34" t="s">
        <v>221</v>
      </c>
      <c r="G38" s="26" t="s">
        <v>222</v>
      </c>
      <c r="H38" s="23" t="s">
        <v>223</v>
      </c>
      <c r="I38" s="27"/>
      <c r="J38" s="28"/>
      <c r="K38" s="27"/>
      <c r="L38" s="24" t="s">
        <v>45</v>
      </c>
      <c r="M38" s="28"/>
    </row>
    <row r="39" spans="1:13" ht="96" customHeight="1">
      <c r="A39" s="23" t="s">
        <v>708</v>
      </c>
      <c r="B39" s="24" t="s">
        <v>224</v>
      </c>
      <c r="C39" s="25" t="s">
        <v>81</v>
      </c>
      <c r="D39" s="26" t="s">
        <v>214</v>
      </c>
      <c r="E39" s="26" t="s">
        <v>225</v>
      </c>
      <c r="F39" s="34" t="s">
        <v>226</v>
      </c>
      <c r="G39" s="26" t="s">
        <v>227</v>
      </c>
      <c r="H39" s="23" t="s">
        <v>228</v>
      </c>
      <c r="I39" s="27"/>
      <c r="J39" s="28"/>
      <c r="K39" s="27"/>
      <c r="L39" s="24" t="s">
        <v>43</v>
      </c>
      <c r="M39" s="28"/>
    </row>
    <row r="40" spans="1:13" ht="126" customHeight="1">
      <c r="A40" s="23" t="s">
        <v>709</v>
      </c>
      <c r="B40" s="24" t="s">
        <v>229</v>
      </c>
      <c r="C40" s="25" t="s">
        <v>81</v>
      </c>
      <c r="D40" s="26" t="s">
        <v>214</v>
      </c>
      <c r="E40" s="26" t="s">
        <v>230</v>
      </c>
      <c r="F40" s="34" t="s">
        <v>231</v>
      </c>
      <c r="G40" s="26" t="s">
        <v>232</v>
      </c>
      <c r="H40" s="23" t="s">
        <v>233</v>
      </c>
      <c r="I40" s="27"/>
      <c r="J40" s="28"/>
      <c r="K40" s="27"/>
      <c r="L40" s="24" t="s">
        <v>43</v>
      </c>
      <c r="M40" s="28"/>
    </row>
    <row r="41" spans="1:13" ht="111" customHeight="1">
      <c r="A41" s="23" t="s">
        <v>710</v>
      </c>
      <c r="B41" s="24" t="s">
        <v>234</v>
      </c>
      <c r="C41" s="25" t="s">
        <v>81</v>
      </c>
      <c r="D41" s="26" t="s">
        <v>214</v>
      </c>
      <c r="E41" s="26" t="s">
        <v>235</v>
      </c>
      <c r="F41" s="34" t="s">
        <v>231</v>
      </c>
      <c r="G41" s="26" t="s">
        <v>236</v>
      </c>
      <c r="H41" s="23" t="s">
        <v>237</v>
      </c>
      <c r="I41" s="27"/>
      <c r="J41" s="28"/>
      <c r="K41" s="27"/>
      <c r="L41" s="24" t="s">
        <v>45</v>
      </c>
      <c r="M41" s="28"/>
    </row>
    <row r="42" spans="1:13" ht="126" customHeight="1">
      <c r="A42" s="23" t="s">
        <v>711</v>
      </c>
      <c r="B42" s="24" t="s">
        <v>238</v>
      </c>
      <c r="C42" s="25" t="s">
        <v>81</v>
      </c>
      <c r="D42" s="26" t="s">
        <v>214</v>
      </c>
      <c r="E42" s="26" t="s">
        <v>239</v>
      </c>
      <c r="F42" s="34" t="s">
        <v>216</v>
      </c>
      <c r="G42" s="26" t="s">
        <v>240</v>
      </c>
      <c r="H42" s="23" t="s">
        <v>241</v>
      </c>
      <c r="I42" s="27"/>
      <c r="J42" s="28"/>
      <c r="K42" s="27"/>
      <c r="L42" s="24" t="s">
        <v>43</v>
      </c>
      <c r="M42" s="28"/>
    </row>
    <row r="43" spans="1:13" ht="81" customHeight="1">
      <c r="A43" s="23" t="s">
        <v>644</v>
      </c>
      <c r="B43" s="24" t="s">
        <v>242</v>
      </c>
      <c r="C43" s="25" t="s">
        <v>81</v>
      </c>
      <c r="D43" s="26" t="s">
        <v>243</v>
      </c>
      <c r="E43" s="26" t="s">
        <v>244</v>
      </c>
      <c r="F43" s="34" t="s">
        <v>245</v>
      </c>
      <c r="G43" s="26" t="s">
        <v>246</v>
      </c>
      <c r="H43" s="23" t="s">
        <v>247</v>
      </c>
      <c r="I43" s="27"/>
      <c r="J43" s="28"/>
      <c r="K43" s="27"/>
      <c r="L43" s="24" t="s">
        <v>45</v>
      </c>
      <c r="M43" s="28"/>
    </row>
    <row r="44" spans="1:13" ht="81" customHeight="1">
      <c r="A44" s="23" t="s">
        <v>712</v>
      </c>
      <c r="B44" s="24" t="s">
        <v>248</v>
      </c>
      <c r="C44" s="25" t="s">
        <v>81</v>
      </c>
      <c r="D44" s="26" t="s">
        <v>214</v>
      </c>
      <c r="E44" s="26" t="s">
        <v>249</v>
      </c>
      <c r="F44" s="34" t="s">
        <v>216</v>
      </c>
      <c r="G44" s="26" t="s">
        <v>250</v>
      </c>
      <c r="H44" s="23" t="s">
        <v>251</v>
      </c>
      <c r="I44" s="27"/>
      <c r="J44" s="28"/>
      <c r="K44" s="27"/>
      <c r="L44" s="24" t="s">
        <v>45</v>
      </c>
      <c r="M44" s="28"/>
    </row>
    <row r="45" spans="1:13" ht="111" customHeight="1">
      <c r="A45" s="23" t="s">
        <v>713</v>
      </c>
      <c r="B45" s="24" t="s">
        <v>252</v>
      </c>
      <c r="C45" s="25" t="s">
        <v>81</v>
      </c>
      <c r="D45" s="26" t="s">
        <v>214</v>
      </c>
      <c r="E45" s="26" t="s">
        <v>253</v>
      </c>
      <c r="F45" s="34" t="s">
        <v>89</v>
      </c>
      <c r="G45" s="26" t="s">
        <v>254</v>
      </c>
      <c r="H45" s="23" t="s">
        <v>255</v>
      </c>
      <c r="I45" s="27"/>
      <c r="J45" s="28"/>
      <c r="K45" s="27"/>
      <c r="L45" s="24" t="s">
        <v>43</v>
      </c>
      <c r="M45" s="28"/>
    </row>
    <row r="46" spans="1:13" ht="96" customHeight="1">
      <c r="A46" s="23" t="s">
        <v>714</v>
      </c>
      <c r="B46" s="24" t="s">
        <v>256</v>
      </c>
      <c r="C46" s="25" t="s">
        <v>81</v>
      </c>
      <c r="D46" s="26" t="s">
        <v>214</v>
      </c>
      <c r="E46" s="26" t="s">
        <v>257</v>
      </c>
      <c r="F46" s="34" t="s">
        <v>177</v>
      </c>
      <c r="G46" s="26" t="s">
        <v>258</v>
      </c>
      <c r="H46" s="23" t="s">
        <v>259</v>
      </c>
      <c r="I46" s="27"/>
      <c r="J46" s="28"/>
      <c r="K46" s="27"/>
      <c r="L46" s="24" t="s">
        <v>43</v>
      </c>
      <c r="M46" s="28"/>
    </row>
    <row r="47" spans="1:13" ht="96" customHeight="1">
      <c r="A47" s="23" t="s">
        <v>715</v>
      </c>
      <c r="B47" s="24" t="s">
        <v>260</v>
      </c>
      <c r="C47" s="25" t="s">
        <v>81</v>
      </c>
      <c r="D47" s="26" t="s">
        <v>214</v>
      </c>
      <c r="E47" s="26" t="s">
        <v>261</v>
      </c>
      <c r="F47" s="34" t="s">
        <v>262</v>
      </c>
      <c r="G47" s="26" t="s">
        <v>263</v>
      </c>
      <c r="H47" s="23" t="s">
        <v>264</v>
      </c>
      <c r="I47" s="27"/>
      <c r="J47" s="28"/>
      <c r="K47" s="27"/>
      <c r="L47" s="24" t="s">
        <v>43</v>
      </c>
      <c r="M47" s="28"/>
    </row>
    <row r="48" spans="1:13" ht="96" customHeight="1">
      <c r="A48" s="23" t="s">
        <v>716</v>
      </c>
      <c r="B48" s="24" t="s">
        <v>265</v>
      </c>
      <c r="C48" s="25" t="s">
        <v>81</v>
      </c>
      <c r="D48" s="26" t="s">
        <v>214</v>
      </c>
      <c r="E48" s="26" t="s">
        <v>266</v>
      </c>
      <c r="F48" s="34" t="s">
        <v>267</v>
      </c>
      <c r="G48" s="26" t="s">
        <v>268</v>
      </c>
      <c r="H48" s="23" t="s">
        <v>269</v>
      </c>
      <c r="I48" s="27"/>
      <c r="J48" s="28"/>
      <c r="K48" s="27"/>
      <c r="L48" s="24" t="s">
        <v>45</v>
      </c>
      <c r="M48" s="28"/>
    </row>
    <row r="49" spans="1:13" ht="81" customHeight="1">
      <c r="A49" s="23" t="s">
        <v>741</v>
      </c>
      <c r="B49" s="24" t="s">
        <v>270</v>
      </c>
      <c r="C49" s="25" t="s">
        <v>81</v>
      </c>
      <c r="D49" s="26" t="s">
        <v>214</v>
      </c>
      <c r="E49" s="26" t="s">
        <v>271</v>
      </c>
      <c r="F49" s="34" t="s">
        <v>272</v>
      </c>
      <c r="G49" s="26" t="s">
        <v>273</v>
      </c>
      <c r="H49" s="23" t="s">
        <v>274</v>
      </c>
      <c r="I49" s="27"/>
      <c r="J49" s="28"/>
      <c r="K49" s="27"/>
      <c r="L49" s="24" t="s">
        <v>45</v>
      </c>
      <c r="M49" s="28"/>
    </row>
    <row r="50" spans="1:13" ht="96" customHeight="1">
      <c r="A50" s="23" t="s">
        <v>717</v>
      </c>
      <c r="B50" s="24" t="s">
        <v>275</v>
      </c>
      <c r="C50" s="25" t="s">
        <v>81</v>
      </c>
      <c r="D50" s="26" t="s">
        <v>214</v>
      </c>
      <c r="E50" s="26" t="s">
        <v>276</v>
      </c>
      <c r="F50" s="34" t="s">
        <v>277</v>
      </c>
      <c r="G50" s="26" t="s">
        <v>278</v>
      </c>
      <c r="H50" s="23" t="s">
        <v>279</v>
      </c>
      <c r="I50" s="27"/>
      <c r="J50" s="28"/>
      <c r="K50" s="27"/>
      <c r="L50" s="24" t="s">
        <v>45</v>
      </c>
      <c r="M50" s="28"/>
    </row>
    <row r="51" spans="1:13" ht="81" customHeight="1">
      <c r="A51" s="23" t="s">
        <v>718</v>
      </c>
      <c r="B51" s="24" t="s">
        <v>280</v>
      </c>
      <c r="C51" s="25" t="s">
        <v>81</v>
      </c>
      <c r="D51" s="26" t="s">
        <v>214</v>
      </c>
      <c r="E51" s="26" t="s">
        <v>281</v>
      </c>
      <c r="F51" s="34" t="s">
        <v>282</v>
      </c>
      <c r="G51" s="26" t="s">
        <v>283</v>
      </c>
      <c r="H51" s="23" t="s">
        <v>284</v>
      </c>
      <c r="I51" s="27"/>
      <c r="J51" s="28"/>
      <c r="K51" s="27"/>
      <c r="L51" s="24" t="s">
        <v>45</v>
      </c>
      <c r="M51" s="28"/>
    </row>
    <row r="52" spans="1:13" ht="66" customHeight="1">
      <c r="A52" s="23" t="s">
        <v>719</v>
      </c>
      <c r="B52" s="24" t="s">
        <v>285</v>
      </c>
      <c r="C52" s="25" t="s">
        <v>81</v>
      </c>
      <c r="D52" s="26" t="s">
        <v>214</v>
      </c>
      <c r="E52" s="26" t="s">
        <v>286</v>
      </c>
      <c r="F52" s="34" t="s">
        <v>110</v>
      </c>
      <c r="G52" s="26" t="s">
        <v>287</v>
      </c>
      <c r="H52" s="23" t="s">
        <v>288</v>
      </c>
      <c r="I52" s="27"/>
      <c r="J52" s="28"/>
      <c r="K52" s="27"/>
      <c r="L52" s="24" t="s">
        <v>45</v>
      </c>
      <c r="M52" s="28"/>
    </row>
    <row r="53" spans="1:13" ht="66" customHeight="1">
      <c r="A53" s="23" t="s">
        <v>720</v>
      </c>
      <c r="B53" s="24" t="s">
        <v>289</v>
      </c>
      <c r="C53" s="25" t="s">
        <v>81</v>
      </c>
      <c r="D53" s="26" t="s">
        <v>214</v>
      </c>
      <c r="E53" s="26" t="s">
        <v>290</v>
      </c>
      <c r="F53" s="34" t="s">
        <v>291</v>
      </c>
      <c r="G53" s="26" t="s">
        <v>292</v>
      </c>
      <c r="H53" s="23" t="s">
        <v>293</v>
      </c>
      <c r="I53" s="27"/>
      <c r="J53" s="28"/>
      <c r="K53" s="27"/>
      <c r="L53" s="24" t="s">
        <v>45</v>
      </c>
      <c r="M53" s="28"/>
    </row>
    <row r="54" spans="1:13" ht="96" customHeight="1">
      <c r="A54" s="23" t="s">
        <v>742</v>
      </c>
      <c r="B54" s="24" t="s">
        <v>294</v>
      </c>
      <c r="C54" s="25" t="s">
        <v>81</v>
      </c>
      <c r="D54" s="26" t="s">
        <v>214</v>
      </c>
      <c r="E54" s="26" t="s">
        <v>295</v>
      </c>
      <c r="F54" s="34" t="s">
        <v>296</v>
      </c>
      <c r="G54" s="26" t="s">
        <v>297</v>
      </c>
      <c r="H54" s="23" t="s">
        <v>298</v>
      </c>
      <c r="I54" s="27"/>
      <c r="J54" s="28"/>
      <c r="K54" s="27"/>
      <c r="L54" s="24" t="s">
        <v>43</v>
      </c>
      <c r="M54" s="28"/>
    </row>
    <row r="55" spans="1:13" ht="81" customHeight="1">
      <c r="A55" s="23" t="s">
        <v>645</v>
      </c>
      <c r="B55" s="24" t="s">
        <v>299</v>
      </c>
      <c r="C55" s="25" t="s">
        <v>81</v>
      </c>
      <c r="D55" s="26" t="s">
        <v>214</v>
      </c>
      <c r="E55" s="26" t="s">
        <v>300</v>
      </c>
      <c r="F55" s="34" t="s">
        <v>301</v>
      </c>
      <c r="G55" s="26" t="s">
        <v>302</v>
      </c>
      <c r="H55" s="23" t="s">
        <v>303</v>
      </c>
      <c r="I55" s="27"/>
      <c r="J55" s="28"/>
      <c r="K55" s="27"/>
      <c r="L55" s="24" t="s">
        <v>43</v>
      </c>
      <c r="M55" s="28"/>
    </row>
    <row r="56" spans="1:13" ht="81" customHeight="1">
      <c r="A56" s="23" t="s">
        <v>646</v>
      </c>
      <c r="B56" s="24" t="s">
        <v>304</v>
      </c>
      <c r="C56" s="25" t="s">
        <v>81</v>
      </c>
      <c r="D56" s="26" t="s">
        <v>305</v>
      </c>
      <c r="E56" s="26" t="s">
        <v>306</v>
      </c>
      <c r="F56" s="34" t="s">
        <v>307</v>
      </c>
      <c r="G56" s="26" t="s">
        <v>308</v>
      </c>
      <c r="H56" s="23" t="s">
        <v>309</v>
      </c>
      <c r="I56" s="27"/>
      <c r="J56" s="28"/>
      <c r="K56" s="27"/>
      <c r="L56" s="24" t="s">
        <v>43</v>
      </c>
      <c r="M56" s="28"/>
    </row>
    <row r="57" spans="1:13" ht="96" customHeight="1">
      <c r="A57" s="23" t="s">
        <v>721</v>
      </c>
      <c r="B57" s="24" t="s">
        <v>310</v>
      </c>
      <c r="C57" s="25" t="s">
        <v>81</v>
      </c>
      <c r="D57" s="26" t="s">
        <v>214</v>
      </c>
      <c r="E57" s="26" t="s">
        <v>311</v>
      </c>
      <c r="F57" s="34" t="s">
        <v>110</v>
      </c>
      <c r="G57" s="26" t="s">
        <v>312</v>
      </c>
      <c r="H57" s="23" t="s">
        <v>313</v>
      </c>
      <c r="I57" s="27"/>
      <c r="J57" s="28"/>
      <c r="K57" s="27"/>
      <c r="L57" s="24" t="s">
        <v>45</v>
      </c>
      <c r="M57" s="28"/>
    </row>
    <row r="58" spans="1:13" ht="111" customHeight="1">
      <c r="A58" s="23" t="s">
        <v>647</v>
      </c>
      <c r="B58" s="24" t="s">
        <v>314</v>
      </c>
      <c r="C58" s="25" t="s">
        <v>81</v>
      </c>
      <c r="D58" s="26" t="s">
        <v>214</v>
      </c>
      <c r="E58" s="26" t="s">
        <v>315</v>
      </c>
      <c r="F58" s="34" t="s">
        <v>316</v>
      </c>
      <c r="G58" s="26" t="s">
        <v>317</v>
      </c>
      <c r="H58" s="23" t="s">
        <v>318</v>
      </c>
      <c r="I58" s="27"/>
      <c r="J58" s="28"/>
      <c r="K58" s="27"/>
      <c r="L58" s="24" t="s">
        <v>43</v>
      </c>
      <c r="M58" s="28"/>
    </row>
    <row r="59" spans="1:13" ht="66" customHeight="1">
      <c r="A59" s="23" t="s">
        <v>648</v>
      </c>
      <c r="B59" s="24" t="s">
        <v>319</v>
      </c>
      <c r="C59" s="25" t="s">
        <v>81</v>
      </c>
      <c r="D59" s="26" t="s">
        <v>214</v>
      </c>
      <c r="E59" s="26" t="s">
        <v>320</v>
      </c>
      <c r="F59" s="34" t="s">
        <v>262</v>
      </c>
      <c r="G59" s="26" t="s">
        <v>321</v>
      </c>
      <c r="H59" s="23" t="s">
        <v>322</v>
      </c>
      <c r="I59" s="27"/>
      <c r="J59" s="28"/>
      <c r="K59" s="27"/>
      <c r="L59" s="24" t="s">
        <v>41</v>
      </c>
      <c r="M59" s="28"/>
    </row>
    <row r="60" spans="1:13" ht="81" customHeight="1">
      <c r="A60" s="23" t="s">
        <v>649</v>
      </c>
      <c r="B60" s="24" t="s">
        <v>323</v>
      </c>
      <c r="C60" s="25" t="s">
        <v>81</v>
      </c>
      <c r="D60" s="26" t="s">
        <v>214</v>
      </c>
      <c r="E60" s="26" t="s">
        <v>324</v>
      </c>
      <c r="F60" s="34" t="s">
        <v>325</v>
      </c>
      <c r="G60" s="26" t="s">
        <v>326</v>
      </c>
      <c r="H60" s="23" t="s">
        <v>327</v>
      </c>
      <c r="I60" s="27"/>
      <c r="J60" s="28"/>
      <c r="K60" s="27"/>
      <c r="L60" s="24" t="s">
        <v>43</v>
      </c>
      <c r="M60" s="28"/>
    </row>
    <row r="61" spans="1:13" ht="66" customHeight="1">
      <c r="A61" s="23" t="s">
        <v>650</v>
      </c>
      <c r="B61" s="24" t="s">
        <v>328</v>
      </c>
      <c r="C61" s="25" t="s">
        <v>81</v>
      </c>
      <c r="D61" s="26" t="s">
        <v>305</v>
      </c>
      <c r="E61" s="26" t="s">
        <v>329</v>
      </c>
      <c r="F61" s="34" t="s">
        <v>330</v>
      </c>
      <c r="G61" s="26" t="s">
        <v>331</v>
      </c>
      <c r="H61" s="23" t="s">
        <v>332</v>
      </c>
      <c r="I61" s="27"/>
      <c r="J61" s="28"/>
      <c r="K61" s="27"/>
      <c r="L61" s="24" t="s">
        <v>43</v>
      </c>
      <c r="M61" s="28"/>
    </row>
    <row r="62" spans="1:13" ht="96" customHeight="1">
      <c r="A62" s="23" t="s">
        <v>651</v>
      </c>
      <c r="B62" s="24" t="s">
        <v>333</v>
      </c>
      <c r="C62" s="25" t="s">
        <v>81</v>
      </c>
      <c r="D62" s="26" t="s">
        <v>334</v>
      </c>
      <c r="E62" s="26" t="s">
        <v>335</v>
      </c>
      <c r="F62" s="34" t="s">
        <v>336</v>
      </c>
      <c r="G62" s="26" t="s">
        <v>337</v>
      </c>
      <c r="H62" s="23" t="s">
        <v>338</v>
      </c>
      <c r="I62" s="27"/>
      <c r="J62" s="28"/>
      <c r="K62" s="27"/>
      <c r="L62" s="24" t="s">
        <v>43</v>
      </c>
      <c r="M62" s="28"/>
    </row>
    <row r="63" spans="1:13" ht="66" customHeight="1">
      <c r="A63" s="23" t="s">
        <v>652</v>
      </c>
      <c r="B63" s="24" t="s">
        <v>339</v>
      </c>
      <c r="C63" s="25" t="s">
        <v>81</v>
      </c>
      <c r="D63" s="26" t="s">
        <v>305</v>
      </c>
      <c r="E63" s="26" t="s">
        <v>340</v>
      </c>
      <c r="F63" s="34" t="s">
        <v>216</v>
      </c>
      <c r="G63" s="26" t="s">
        <v>341</v>
      </c>
      <c r="H63" s="23" t="s">
        <v>342</v>
      </c>
      <c r="I63" s="27"/>
      <c r="J63" s="28"/>
      <c r="K63" s="27"/>
      <c r="L63" s="24" t="s">
        <v>41</v>
      </c>
      <c r="M63" s="28"/>
    </row>
    <row r="64" spans="1:13" ht="66" customHeight="1">
      <c r="A64" s="23" t="s">
        <v>653</v>
      </c>
      <c r="B64" s="24" t="s">
        <v>343</v>
      </c>
      <c r="C64" s="25" t="s">
        <v>81</v>
      </c>
      <c r="D64" s="26" t="s">
        <v>344</v>
      </c>
      <c r="E64" s="26" t="s">
        <v>345</v>
      </c>
      <c r="F64" s="34" t="s">
        <v>226</v>
      </c>
      <c r="G64" s="26" t="s">
        <v>346</v>
      </c>
      <c r="H64" s="23" t="s">
        <v>347</v>
      </c>
      <c r="I64" s="27"/>
      <c r="J64" s="28"/>
      <c r="K64" s="27"/>
      <c r="L64" s="24" t="s">
        <v>43</v>
      </c>
      <c r="M64" s="28"/>
    </row>
    <row r="65" spans="1:13" ht="96" customHeight="1">
      <c r="A65" s="23" t="s">
        <v>654</v>
      </c>
      <c r="B65" s="24" t="s">
        <v>348</v>
      </c>
      <c r="C65" s="25" t="s">
        <v>81</v>
      </c>
      <c r="D65" s="26" t="s">
        <v>349</v>
      </c>
      <c r="E65" s="26" t="s">
        <v>350</v>
      </c>
      <c r="F65" s="34" t="s">
        <v>351</v>
      </c>
      <c r="G65" s="26" t="s">
        <v>352</v>
      </c>
      <c r="H65" s="23" t="s">
        <v>353</v>
      </c>
      <c r="I65" s="27"/>
      <c r="J65" s="28"/>
      <c r="K65" s="27"/>
      <c r="L65" s="24" t="s">
        <v>41</v>
      </c>
      <c r="M65" s="28"/>
    </row>
    <row r="66" spans="1:13" ht="96" customHeight="1">
      <c r="A66" s="23" t="s">
        <v>655</v>
      </c>
      <c r="B66" s="24" t="s">
        <v>354</v>
      </c>
      <c r="C66" s="25" t="s">
        <v>81</v>
      </c>
      <c r="D66" s="26" t="s">
        <v>214</v>
      </c>
      <c r="E66" s="26" t="s">
        <v>355</v>
      </c>
      <c r="F66" s="34" t="s">
        <v>356</v>
      </c>
      <c r="G66" s="26" t="s">
        <v>357</v>
      </c>
      <c r="H66" s="23" t="s">
        <v>358</v>
      </c>
      <c r="I66" s="27"/>
      <c r="J66" s="28"/>
      <c r="K66" s="27"/>
      <c r="L66" s="24" t="s">
        <v>43</v>
      </c>
      <c r="M66" s="28"/>
    </row>
    <row r="67" spans="1:13" ht="81" customHeight="1">
      <c r="A67" s="23" t="s">
        <v>656</v>
      </c>
      <c r="B67" s="24" t="s">
        <v>359</v>
      </c>
      <c r="C67" s="25" t="s">
        <v>81</v>
      </c>
      <c r="D67" s="26" t="s">
        <v>141</v>
      </c>
      <c r="E67" s="26" t="s">
        <v>360</v>
      </c>
      <c r="F67" s="34" t="s">
        <v>361</v>
      </c>
      <c r="G67" s="26" t="s">
        <v>362</v>
      </c>
      <c r="H67" s="23" t="s">
        <v>363</v>
      </c>
      <c r="I67" s="27"/>
      <c r="J67" s="28"/>
      <c r="K67" s="27"/>
      <c r="L67" s="24" t="s">
        <v>43</v>
      </c>
      <c r="M67" s="28"/>
    </row>
    <row r="68" spans="1:13" ht="96" customHeight="1">
      <c r="A68" s="23" t="s">
        <v>722</v>
      </c>
      <c r="B68" s="24" t="s">
        <v>364</v>
      </c>
      <c r="C68" s="25" t="s">
        <v>81</v>
      </c>
      <c r="D68" s="26" t="s">
        <v>365</v>
      </c>
      <c r="E68" s="26" t="s">
        <v>253</v>
      </c>
      <c r="F68" s="34" t="s">
        <v>89</v>
      </c>
      <c r="G68" s="26" t="s">
        <v>366</v>
      </c>
      <c r="H68" s="23" t="s">
        <v>367</v>
      </c>
      <c r="I68" s="27"/>
      <c r="J68" s="28"/>
      <c r="K68" s="27"/>
      <c r="L68" s="24" t="s">
        <v>43</v>
      </c>
      <c r="M68" s="28"/>
    </row>
    <row r="69" spans="1:13" ht="111" customHeight="1">
      <c r="A69" s="23" t="s">
        <v>723</v>
      </c>
      <c r="B69" s="24" t="s">
        <v>368</v>
      </c>
      <c r="C69" s="25" t="s">
        <v>81</v>
      </c>
      <c r="D69" s="26" t="s">
        <v>365</v>
      </c>
      <c r="E69" s="26" t="s">
        <v>369</v>
      </c>
      <c r="F69" s="34" t="s">
        <v>370</v>
      </c>
      <c r="G69" s="26" t="s">
        <v>371</v>
      </c>
      <c r="H69" s="23" t="s">
        <v>372</v>
      </c>
      <c r="I69" s="27"/>
      <c r="J69" s="28"/>
      <c r="K69" s="27"/>
      <c r="L69" s="24" t="s">
        <v>45</v>
      </c>
      <c r="M69" s="28"/>
    </row>
    <row r="70" spans="1:13" ht="111" customHeight="1">
      <c r="A70" s="23" t="s">
        <v>724</v>
      </c>
      <c r="B70" s="24" t="s">
        <v>373</v>
      </c>
      <c r="C70" s="25" t="s">
        <v>81</v>
      </c>
      <c r="D70" s="26" t="s">
        <v>365</v>
      </c>
      <c r="E70" s="26" t="s">
        <v>374</v>
      </c>
      <c r="F70" s="34" t="s">
        <v>375</v>
      </c>
      <c r="G70" s="26" t="s">
        <v>371</v>
      </c>
      <c r="H70" s="23" t="s">
        <v>376</v>
      </c>
      <c r="I70" s="27"/>
      <c r="J70" s="28"/>
      <c r="K70" s="27"/>
      <c r="L70" s="24" t="s">
        <v>43</v>
      </c>
      <c r="M70" s="28"/>
    </row>
    <row r="71" spans="1:13" ht="111" customHeight="1">
      <c r="A71" s="23" t="s">
        <v>725</v>
      </c>
      <c r="B71" s="24" t="s">
        <v>377</v>
      </c>
      <c r="C71" s="25" t="s">
        <v>81</v>
      </c>
      <c r="D71" s="26" t="s">
        <v>365</v>
      </c>
      <c r="E71" s="26" t="s">
        <v>378</v>
      </c>
      <c r="F71" s="34" t="s">
        <v>110</v>
      </c>
      <c r="G71" s="26" t="s">
        <v>379</v>
      </c>
      <c r="H71" s="23" t="s">
        <v>380</v>
      </c>
      <c r="I71" s="27"/>
      <c r="J71" s="28"/>
      <c r="K71" s="27"/>
      <c r="L71" s="24" t="s">
        <v>45</v>
      </c>
      <c r="M71" s="28"/>
    </row>
    <row r="72" spans="1:13" ht="66" customHeight="1">
      <c r="A72" s="23" t="s">
        <v>657</v>
      </c>
      <c r="B72" s="24" t="s">
        <v>381</v>
      </c>
      <c r="C72" s="25" t="s">
        <v>81</v>
      </c>
      <c r="D72" s="26" t="s">
        <v>365</v>
      </c>
      <c r="E72" s="26" t="s">
        <v>382</v>
      </c>
      <c r="F72" s="34" t="s">
        <v>383</v>
      </c>
      <c r="G72" s="26" t="s">
        <v>384</v>
      </c>
      <c r="H72" s="23" t="s">
        <v>385</v>
      </c>
      <c r="I72" s="27"/>
      <c r="J72" s="28"/>
      <c r="K72" s="27"/>
      <c r="L72" s="24" t="s">
        <v>45</v>
      </c>
      <c r="M72" s="28"/>
    </row>
    <row r="73" spans="1:13" ht="81" customHeight="1">
      <c r="A73" s="23" t="s">
        <v>658</v>
      </c>
      <c r="B73" s="24" t="s">
        <v>386</v>
      </c>
      <c r="C73" s="25" t="s">
        <v>81</v>
      </c>
      <c r="D73" s="26" t="s">
        <v>365</v>
      </c>
      <c r="E73" s="26" t="s">
        <v>387</v>
      </c>
      <c r="F73" s="34" t="s">
        <v>388</v>
      </c>
      <c r="G73" s="26" t="s">
        <v>389</v>
      </c>
      <c r="H73" s="23" t="s">
        <v>390</v>
      </c>
      <c r="I73" s="27"/>
      <c r="J73" s="28"/>
      <c r="K73" s="27"/>
      <c r="L73" s="24" t="s">
        <v>45</v>
      </c>
      <c r="M73" s="28"/>
    </row>
    <row r="74" spans="1:13" ht="111" customHeight="1">
      <c r="A74" s="23" t="s">
        <v>726</v>
      </c>
      <c r="B74" s="24" t="s">
        <v>391</v>
      </c>
      <c r="C74" s="25" t="s">
        <v>81</v>
      </c>
      <c r="D74" s="26" t="s">
        <v>365</v>
      </c>
      <c r="E74" s="26" t="s">
        <v>392</v>
      </c>
      <c r="F74" s="34" t="s">
        <v>110</v>
      </c>
      <c r="G74" s="26" t="s">
        <v>393</v>
      </c>
      <c r="H74" s="23" t="s">
        <v>394</v>
      </c>
      <c r="I74" s="27"/>
      <c r="J74" s="28"/>
      <c r="K74" s="27"/>
      <c r="L74" s="24" t="s">
        <v>45</v>
      </c>
      <c r="M74" s="28"/>
    </row>
    <row r="75" spans="1:13" ht="96" customHeight="1">
      <c r="A75" s="23" t="s">
        <v>727</v>
      </c>
      <c r="B75" s="24" t="s">
        <v>395</v>
      </c>
      <c r="C75" s="25" t="s">
        <v>81</v>
      </c>
      <c r="D75" s="26" t="s">
        <v>365</v>
      </c>
      <c r="E75" s="26" t="s">
        <v>396</v>
      </c>
      <c r="F75" s="34" t="s">
        <v>397</v>
      </c>
      <c r="G75" s="26" t="s">
        <v>398</v>
      </c>
      <c r="H75" s="23" t="s">
        <v>399</v>
      </c>
      <c r="I75" s="27"/>
      <c r="J75" s="28"/>
      <c r="K75" s="27"/>
      <c r="L75" s="24" t="s">
        <v>45</v>
      </c>
      <c r="M75" s="28"/>
    </row>
    <row r="76" spans="1:13" ht="111" customHeight="1">
      <c r="A76" s="23" t="s">
        <v>728</v>
      </c>
      <c r="B76" s="24" t="s">
        <v>400</v>
      </c>
      <c r="C76" s="25" t="s">
        <v>81</v>
      </c>
      <c r="D76" s="26" t="s">
        <v>365</v>
      </c>
      <c r="E76" s="26" t="s">
        <v>401</v>
      </c>
      <c r="F76" s="34" t="s">
        <v>402</v>
      </c>
      <c r="G76" s="26" t="s">
        <v>403</v>
      </c>
      <c r="H76" s="23" t="s">
        <v>404</v>
      </c>
      <c r="I76" s="27"/>
      <c r="J76" s="28"/>
      <c r="K76" s="27"/>
      <c r="L76" s="24" t="s">
        <v>43</v>
      </c>
      <c r="M76" s="28"/>
    </row>
    <row r="77" spans="1:13" ht="96" customHeight="1">
      <c r="A77" s="23" t="s">
        <v>729</v>
      </c>
      <c r="B77" s="24" t="s">
        <v>405</v>
      </c>
      <c r="C77" s="25" t="s">
        <v>81</v>
      </c>
      <c r="D77" s="26" t="s">
        <v>365</v>
      </c>
      <c r="E77" s="26" t="s">
        <v>406</v>
      </c>
      <c r="F77" s="34" t="s">
        <v>407</v>
      </c>
      <c r="G77" s="26" t="s">
        <v>408</v>
      </c>
      <c r="H77" s="23" t="s">
        <v>409</v>
      </c>
      <c r="I77" s="27"/>
      <c r="J77" s="28"/>
      <c r="K77" s="27"/>
      <c r="L77" s="24" t="s">
        <v>45</v>
      </c>
      <c r="M77" s="28"/>
    </row>
    <row r="78" spans="1:13" ht="96" customHeight="1">
      <c r="A78" s="23" t="s">
        <v>659</v>
      </c>
      <c r="B78" s="24" t="s">
        <v>558</v>
      </c>
      <c r="C78" s="25" t="s">
        <v>525</v>
      </c>
      <c r="D78" s="26" t="s">
        <v>559</v>
      </c>
      <c r="E78" s="26" t="s">
        <v>560</v>
      </c>
      <c r="F78" s="34" t="s">
        <v>561</v>
      </c>
      <c r="G78" s="26" t="s">
        <v>562</v>
      </c>
      <c r="H78" s="23" t="s">
        <v>563</v>
      </c>
      <c r="I78" s="27"/>
      <c r="J78" s="28"/>
      <c r="K78" s="27"/>
      <c r="L78" s="24" t="s">
        <v>535</v>
      </c>
      <c r="M78" s="28"/>
    </row>
    <row r="79" spans="1:13" ht="81" customHeight="1">
      <c r="A79" s="23" t="s">
        <v>660</v>
      </c>
      <c r="B79" s="24" t="s">
        <v>410</v>
      </c>
      <c r="C79" s="25" t="s">
        <v>411</v>
      </c>
      <c r="D79" s="26" t="s">
        <v>412</v>
      </c>
      <c r="E79" s="26" t="s">
        <v>413</v>
      </c>
      <c r="F79" s="34" t="s">
        <v>414</v>
      </c>
      <c r="G79" s="26" t="s">
        <v>415</v>
      </c>
      <c r="H79" s="23" t="s">
        <v>416</v>
      </c>
      <c r="I79" s="27"/>
      <c r="J79" s="28"/>
      <c r="K79" s="27"/>
      <c r="L79" s="24" t="s">
        <v>43</v>
      </c>
      <c r="M79" s="28"/>
    </row>
    <row r="80" spans="1:13" ht="81" customHeight="1">
      <c r="A80" s="23" t="s">
        <v>661</v>
      </c>
      <c r="B80" s="24" t="s">
        <v>417</v>
      </c>
      <c r="C80" s="25" t="s">
        <v>418</v>
      </c>
      <c r="D80" s="26" t="s">
        <v>412</v>
      </c>
      <c r="E80" s="26" t="s">
        <v>413</v>
      </c>
      <c r="F80" s="34" t="s">
        <v>419</v>
      </c>
      <c r="G80" s="26" t="s">
        <v>420</v>
      </c>
      <c r="H80" s="23" t="s">
        <v>421</v>
      </c>
      <c r="I80" s="27"/>
      <c r="J80" s="28"/>
      <c r="K80" s="27"/>
      <c r="L80" s="24" t="s">
        <v>43</v>
      </c>
      <c r="M80" s="28"/>
    </row>
    <row r="81" spans="1:13" ht="66" customHeight="1">
      <c r="A81" s="23" t="s">
        <v>662</v>
      </c>
      <c r="B81" s="24" t="s">
        <v>422</v>
      </c>
      <c r="C81" s="25" t="s">
        <v>411</v>
      </c>
      <c r="D81" s="26" t="s">
        <v>423</v>
      </c>
      <c r="E81" s="26" t="s">
        <v>424</v>
      </c>
      <c r="F81" s="34" t="s">
        <v>425</v>
      </c>
      <c r="G81" s="26" t="s">
        <v>426</v>
      </c>
      <c r="H81" s="23" t="s">
        <v>427</v>
      </c>
      <c r="I81" s="27"/>
      <c r="J81" s="28"/>
      <c r="K81" s="27"/>
      <c r="L81" s="24" t="s">
        <v>45</v>
      </c>
      <c r="M81" s="28"/>
    </row>
    <row r="82" spans="1:13" ht="111" customHeight="1">
      <c r="A82" s="23" t="s">
        <v>663</v>
      </c>
      <c r="B82" s="24" t="s">
        <v>428</v>
      </c>
      <c r="C82" s="25" t="s">
        <v>411</v>
      </c>
      <c r="D82" s="26" t="s">
        <v>429</v>
      </c>
      <c r="E82" s="26" t="s">
        <v>430</v>
      </c>
      <c r="F82" s="34" t="s">
        <v>546</v>
      </c>
      <c r="G82" s="26" t="s">
        <v>431</v>
      </c>
      <c r="H82" s="23" t="s">
        <v>547</v>
      </c>
      <c r="I82" s="27"/>
      <c r="J82" s="28"/>
      <c r="K82" s="27"/>
      <c r="L82" s="24" t="s">
        <v>43</v>
      </c>
      <c r="M82" s="28"/>
    </row>
    <row r="83" spans="1:13" ht="66" customHeight="1">
      <c r="A83" s="23" t="s">
        <v>664</v>
      </c>
      <c r="B83" s="24" t="s">
        <v>432</v>
      </c>
      <c r="C83" s="25" t="s">
        <v>411</v>
      </c>
      <c r="D83" s="26" t="s">
        <v>412</v>
      </c>
      <c r="E83" s="26" t="s">
        <v>433</v>
      </c>
      <c r="F83" s="34" t="s">
        <v>434</v>
      </c>
      <c r="G83" s="26" t="s">
        <v>435</v>
      </c>
      <c r="H83" s="23" t="s">
        <v>436</v>
      </c>
      <c r="I83" s="27"/>
      <c r="J83" s="28"/>
      <c r="K83" s="27"/>
      <c r="L83" s="24" t="s">
        <v>41</v>
      </c>
      <c r="M83" s="28"/>
    </row>
    <row r="84" spans="1:13" ht="81" customHeight="1">
      <c r="A84" s="23" t="s">
        <v>665</v>
      </c>
      <c r="B84" s="24" t="s">
        <v>437</v>
      </c>
      <c r="C84" s="25" t="s">
        <v>438</v>
      </c>
      <c r="D84" s="26" t="s">
        <v>439</v>
      </c>
      <c r="E84" s="26" t="s">
        <v>440</v>
      </c>
      <c r="F84" s="34" t="s">
        <v>441</v>
      </c>
      <c r="G84" s="26" t="s">
        <v>442</v>
      </c>
      <c r="H84" s="23" t="s">
        <v>443</v>
      </c>
      <c r="I84" s="27"/>
      <c r="J84" s="28"/>
      <c r="K84" s="27"/>
      <c r="L84" s="24" t="s">
        <v>41</v>
      </c>
      <c r="M84" s="28"/>
    </row>
    <row r="85" spans="1:13" ht="81" customHeight="1">
      <c r="A85" s="23" t="s">
        <v>663</v>
      </c>
      <c r="B85" s="24" t="s">
        <v>552</v>
      </c>
      <c r="C85" s="25" t="s">
        <v>565</v>
      </c>
      <c r="D85" s="26" t="s">
        <v>553</v>
      </c>
      <c r="E85" s="26" t="s">
        <v>554</v>
      </c>
      <c r="F85" s="34" t="s">
        <v>555</v>
      </c>
      <c r="G85" s="26" t="s">
        <v>556</v>
      </c>
      <c r="H85" s="23" t="s">
        <v>557</v>
      </c>
      <c r="I85" s="27"/>
      <c r="J85" s="28"/>
      <c r="K85" s="27"/>
      <c r="L85" s="24" t="s">
        <v>527</v>
      </c>
      <c r="M85" s="28"/>
    </row>
    <row r="86" spans="1:13" ht="111" customHeight="1">
      <c r="A86" s="23" t="s">
        <v>730</v>
      </c>
      <c r="B86" s="24" t="s">
        <v>444</v>
      </c>
      <c r="C86" s="25" t="s">
        <v>81</v>
      </c>
      <c r="D86" s="26" t="s">
        <v>445</v>
      </c>
      <c r="E86" s="26" t="s">
        <v>253</v>
      </c>
      <c r="F86" s="34" t="s">
        <v>89</v>
      </c>
      <c r="G86" s="26" t="s">
        <v>446</v>
      </c>
      <c r="H86" s="23" t="s">
        <v>447</v>
      </c>
      <c r="I86" s="27"/>
      <c r="J86" s="28"/>
      <c r="K86" s="27"/>
      <c r="L86" s="24" t="s">
        <v>43</v>
      </c>
      <c r="M86" s="28"/>
    </row>
    <row r="87" spans="1:13" ht="111" customHeight="1">
      <c r="A87" s="23" t="s">
        <v>731</v>
      </c>
      <c r="B87" s="24" t="s">
        <v>448</v>
      </c>
      <c r="C87" s="25" t="s">
        <v>81</v>
      </c>
      <c r="D87" s="26" t="s">
        <v>445</v>
      </c>
      <c r="E87" s="26" t="s">
        <v>449</v>
      </c>
      <c r="F87" s="34" t="s">
        <v>450</v>
      </c>
      <c r="G87" s="26" t="s">
        <v>451</v>
      </c>
      <c r="H87" s="23" t="s">
        <v>452</v>
      </c>
      <c r="I87" s="27"/>
      <c r="J87" s="28"/>
      <c r="K87" s="27"/>
      <c r="L87" s="24" t="s">
        <v>43</v>
      </c>
      <c r="M87" s="28"/>
    </row>
    <row r="88" spans="1:13" ht="96" customHeight="1">
      <c r="A88" s="23" t="s">
        <v>732</v>
      </c>
      <c r="B88" s="24" t="s">
        <v>453</v>
      </c>
      <c r="C88" s="25" t="s">
        <v>81</v>
      </c>
      <c r="D88" s="26" t="s">
        <v>445</v>
      </c>
      <c r="E88" s="26" t="s">
        <v>454</v>
      </c>
      <c r="F88" s="34" t="s">
        <v>455</v>
      </c>
      <c r="G88" s="26" t="s">
        <v>451</v>
      </c>
      <c r="H88" s="23" t="s">
        <v>456</v>
      </c>
      <c r="I88" s="27"/>
      <c r="J88" s="28"/>
      <c r="K88" s="27"/>
      <c r="L88" s="24" t="s">
        <v>45</v>
      </c>
      <c r="M88" s="28"/>
    </row>
    <row r="89" spans="1:13" ht="96" customHeight="1">
      <c r="A89" s="23" t="s">
        <v>733</v>
      </c>
      <c r="B89" s="24" t="s">
        <v>457</v>
      </c>
      <c r="C89" s="25" t="s">
        <v>81</v>
      </c>
      <c r="D89" s="26" t="s">
        <v>445</v>
      </c>
      <c r="E89" s="26" t="s">
        <v>458</v>
      </c>
      <c r="F89" s="34" t="s">
        <v>110</v>
      </c>
      <c r="G89" s="26" t="s">
        <v>459</v>
      </c>
      <c r="H89" s="23" t="s">
        <v>313</v>
      </c>
      <c r="I89" s="27"/>
      <c r="J89" s="28"/>
      <c r="K89" s="27"/>
      <c r="L89" s="24" t="s">
        <v>45</v>
      </c>
      <c r="M89" s="28"/>
    </row>
    <row r="90" spans="1:13" ht="96" customHeight="1">
      <c r="A90" s="23" t="s">
        <v>734</v>
      </c>
      <c r="B90" s="24" t="s">
        <v>460</v>
      </c>
      <c r="C90" s="25" t="s">
        <v>81</v>
      </c>
      <c r="D90" s="26" t="s">
        <v>445</v>
      </c>
      <c r="E90" s="26" t="s">
        <v>461</v>
      </c>
      <c r="F90" s="34" t="s">
        <v>110</v>
      </c>
      <c r="G90" s="26" t="s">
        <v>462</v>
      </c>
      <c r="H90" s="23" t="s">
        <v>463</v>
      </c>
      <c r="I90" s="27"/>
      <c r="J90" s="28"/>
      <c r="K90" s="27"/>
      <c r="L90" s="24" t="s">
        <v>45</v>
      </c>
      <c r="M90" s="28"/>
    </row>
    <row r="91" spans="1:13" ht="66" customHeight="1">
      <c r="A91" s="23" t="s">
        <v>666</v>
      </c>
      <c r="B91" s="24" t="s">
        <v>464</v>
      </c>
      <c r="C91" s="25" t="s">
        <v>438</v>
      </c>
      <c r="D91" s="26" t="s">
        <v>465</v>
      </c>
      <c r="E91" s="26" t="s">
        <v>466</v>
      </c>
      <c r="F91" s="34" t="s">
        <v>467</v>
      </c>
      <c r="G91" s="26" t="s">
        <v>468</v>
      </c>
      <c r="H91" s="23" t="s">
        <v>469</v>
      </c>
      <c r="I91" s="27"/>
      <c r="J91" s="28"/>
      <c r="K91" s="27"/>
      <c r="L91" s="24" t="s">
        <v>41</v>
      </c>
      <c r="M91" s="28"/>
    </row>
    <row r="92" spans="1:13" ht="51" customHeight="1">
      <c r="A92" s="23" t="s">
        <v>667</v>
      </c>
      <c r="B92" s="24" t="s">
        <v>470</v>
      </c>
      <c r="C92" s="25" t="s">
        <v>81</v>
      </c>
      <c r="D92" s="26" t="s">
        <v>103</v>
      </c>
      <c r="E92" s="26" t="s">
        <v>471</v>
      </c>
      <c r="F92" s="34" t="s">
        <v>110</v>
      </c>
      <c r="G92" s="26" t="s">
        <v>472</v>
      </c>
      <c r="H92" s="23" t="s">
        <v>473</v>
      </c>
      <c r="I92" s="27"/>
      <c r="J92" s="28"/>
      <c r="K92" s="27"/>
      <c r="L92" s="24" t="s">
        <v>41</v>
      </c>
      <c r="M92" s="28"/>
    </row>
    <row r="93" spans="1:13" ht="81" customHeight="1">
      <c r="A93" s="23" t="s">
        <v>743</v>
      </c>
      <c r="B93" s="24" t="s">
        <v>474</v>
      </c>
      <c r="C93" s="25" t="s">
        <v>81</v>
      </c>
      <c r="D93" s="26" t="s">
        <v>103</v>
      </c>
      <c r="E93" s="26" t="s">
        <v>475</v>
      </c>
      <c r="F93" s="34" t="s">
        <v>89</v>
      </c>
      <c r="G93" s="26" t="s">
        <v>523</v>
      </c>
      <c r="H93" s="23" t="s">
        <v>476</v>
      </c>
      <c r="I93" s="27"/>
      <c r="J93" s="28"/>
      <c r="K93" s="27"/>
      <c r="L93" s="24" t="s">
        <v>43</v>
      </c>
      <c r="M93" s="28"/>
    </row>
    <row r="94" spans="1:13" ht="66" customHeight="1">
      <c r="A94" s="23" t="s">
        <v>668</v>
      </c>
      <c r="B94" s="24" t="s">
        <v>477</v>
      </c>
      <c r="C94" s="25" t="s">
        <v>81</v>
      </c>
      <c r="D94" s="26" t="s">
        <v>478</v>
      </c>
      <c r="E94" s="26" t="s">
        <v>479</v>
      </c>
      <c r="F94" s="34" t="s">
        <v>480</v>
      </c>
      <c r="G94" s="26" t="s">
        <v>481</v>
      </c>
      <c r="H94" s="23" t="s">
        <v>482</v>
      </c>
      <c r="I94" s="27"/>
      <c r="J94" s="28"/>
      <c r="K94" s="27"/>
      <c r="L94" s="24" t="s">
        <v>43</v>
      </c>
      <c r="M94" s="28"/>
    </row>
    <row r="95" spans="1:13" ht="36" customHeight="1">
      <c r="A95" s="23" t="s">
        <v>483</v>
      </c>
      <c r="B95" s="24" t="s">
        <v>484</v>
      </c>
      <c r="C95" s="25" t="s">
        <v>81</v>
      </c>
      <c r="D95" s="26" t="s">
        <v>478</v>
      </c>
      <c r="E95" s="26" t="s">
        <v>485</v>
      </c>
      <c r="F95" s="34" t="s">
        <v>486</v>
      </c>
      <c r="G95" s="26" t="s">
        <v>487</v>
      </c>
      <c r="H95" s="23" t="s">
        <v>488</v>
      </c>
      <c r="I95" s="27"/>
      <c r="J95" s="28"/>
      <c r="K95" s="27"/>
      <c r="L95" s="24" t="s">
        <v>43</v>
      </c>
      <c r="M95" s="28"/>
    </row>
    <row r="96" spans="1:13" ht="96" customHeight="1">
      <c r="A96" s="23" t="s">
        <v>669</v>
      </c>
      <c r="B96" s="24" t="s">
        <v>489</v>
      </c>
      <c r="C96" s="25" t="s">
        <v>81</v>
      </c>
      <c r="D96" s="26" t="s">
        <v>490</v>
      </c>
      <c r="E96" s="26" t="s">
        <v>491</v>
      </c>
      <c r="F96" s="34" t="s">
        <v>492</v>
      </c>
      <c r="G96" s="26" t="s">
        <v>493</v>
      </c>
      <c r="H96" s="23" t="s">
        <v>494</v>
      </c>
      <c r="I96" s="27"/>
      <c r="J96" s="28"/>
      <c r="K96" s="27"/>
      <c r="L96" s="24" t="s">
        <v>43</v>
      </c>
      <c r="M96" s="28"/>
    </row>
    <row r="97" spans="1:13" ht="66" customHeight="1">
      <c r="A97" s="23" t="s">
        <v>670</v>
      </c>
      <c r="B97" s="24" t="s">
        <v>495</v>
      </c>
      <c r="C97" s="25" t="s">
        <v>411</v>
      </c>
      <c r="D97" s="26" t="s">
        <v>412</v>
      </c>
      <c r="E97" s="26" t="s">
        <v>496</v>
      </c>
      <c r="F97" s="34" t="s">
        <v>497</v>
      </c>
      <c r="G97" s="26" t="s">
        <v>498</v>
      </c>
      <c r="H97" s="23" t="s">
        <v>499</v>
      </c>
      <c r="I97" s="27"/>
      <c r="J97" s="28"/>
      <c r="K97" s="27"/>
      <c r="L97" s="24" t="s">
        <v>41</v>
      </c>
      <c r="M97" s="28"/>
    </row>
    <row r="98" spans="1:13" ht="66" customHeight="1">
      <c r="A98" s="23" t="s">
        <v>671</v>
      </c>
      <c r="B98" s="24" t="s">
        <v>500</v>
      </c>
      <c r="C98" s="25" t="s">
        <v>411</v>
      </c>
      <c r="D98" s="26" t="s">
        <v>501</v>
      </c>
      <c r="E98" s="26" t="s">
        <v>502</v>
      </c>
      <c r="F98" s="34" t="s">
        <v>548</v>
      </c>
      <c r="G98" s="26" t="s">
        <v>503</v>
      </c>
      <c r="H98" s="23" t="s">
        <v>549</v>
      </c>
      <c r="I98" s="27"/>
      <c r="J98" s="28"/>
      <c r="K98" s="27"/>
      <c r="L98" s="24" t="s">
        <v>43</v>
      </c>
      <c r="M98" s="28"/>
    </row>
    <row r="99" spans="1:13" ht="66" customHeight="1">
      <c r="A99" s="23" t="s">
        <v>672</v>
      </c>
      <c r="B99" s="24" t="s">
        <v>504</v>
      </c>
      <c r="C99" s="25" t="s">
        <v>81</v>
      </c>
      <c r="D99" s="26" t="s">
        <v>334</v>
      </c>
      <c r="E99" s="26" t="s">
        <v>505</v>
      </c>
      <c r="F99" s="34" t="s">
        <v>110</v>
      </c>
      <c r="G99" s="26" t="s">
        <v>506</v>
      </c>
      <c r="H99" s="23" t="s">
        <v>507</v>
      </c>
      <c r="I99" s="27"/>
      <c r="J99" s="28"/>
      <c r="K99" s="27"/>
      <c r="L99" s="24" t="s">
        <v>43</v>
      </c>
      <c r="M99" s="28"/>
    </row>
    <row r="100" spans="1:13" ht="81" customHeight="1">
      <c r="A100" s="23" t="s">
        <v>673</v>
      </c>
      <c r="B100" s="24" t="s">
        <v>508</v>
      </c>
      <c r="C100" s="25" t="s">
        <v>81</v>
      </c>
      <c r="D100" s="26" t="s">
        <v>141</v>
      </c>
      <c r="E100" s="26" t="s">
        <v>509</v>
      </c>
      <c r="F100" s="34" t="s">
        <v>510</v>
      </c>
      <c r="G100" s="26" t="s">
        <v>511</v>
      </c>
      <c r="H100" s="23" t="s">
        <v>512</v>
      </c>
      <c r="I100" s="27"/>
      <c r="J100" s="28"/>
      <c r="K100" s="27"/>
      <c r="L100" s="24" t="s">
        <v>43</v>
      </c>
      <c r="M100" s="28"/>
    </row>
    <row r="101" spans="1:13" ht="120" customHeight="1">
      <c r="A101" s="23" t="s">
        <v>735</v>
      </c>
      <c r="B101" s="24" t="s">
        <v>524</v>
      </c>
      <c r="C101" s="25" t="s">
        <v>525</v>
      </c>
      <c r="D101" s="26" t="s">
        <v>526</v>
      </c>
      <c r="E101" s="26" t="s">
        <v>566</v>
      </c>
      <c r="F101" s="34" t="s">
        <v>567</v>
      </c>
      <c r="G101" s="26" t="s">
        <v>568</v>
      </c>
      <c r="H101" s="23" t="s">
        <v>616</v>
      </c>
      <c r="I101" s="27"/>
      <c r="J101" s="28"/>
      <c r="K101" s="27"/>
      <c r="L101" s="24" t="s">
        <v>527</v>
      </c>
      <c r="M101" s="28"/>
    </row>
    <row r="102" spans="1:13" ht="120" customHeight="1">
      <c r="A102" s="23" t="s">
        <v>735</v>
      </c>
      <c r="B102" s="24" t="s">
        <v>528</v>
      </c>
      <c r="C102" s="25" t="s">
        <v>525</v>
      </c>
      <c r="D102" s="26" t="s">
        <v>617</v>
      </c>
      <c r="E102" s="26" t="s">
        <v>618</v>
      </c>
      <c r="F102" s="34" t="s">
        <v>567</v>
      </c>
      <c r="G102" s="26" t="s">
        <v>619</v>
      </c>
      <c r="H102" s="23" t="s">
        <v>620</v>
      </c>
      <c r="I102" s="27"/>
      <c r="J102" s="28"/>
      <c r="K102" s="27"/>
      <c r="L102" s="24" t="s">
        <v>527</v>
      </c>
      <c r="M102" s="28"/>
    </row>
    <row r="103" spans="1:13" ht="120" customHeight="1">
      <c r="A103" s="23" t="s">
        <v>674</v>
      </c>
      <c r="B103" s="24" t="s">
        <v>529</v>
      </c>
      <c r="C103" s="25" t="s">
        <v>525</v>
      </c>
      <c r="D103" s="26" t="s">
        <v>569</v>
      </c>
      <c r="E103" s="26" t="s">
        <v>570</v>
      </c>
      <c r="F103" s="34" t="s">
        <v>571</v>
      </c>
      <c r="G103" s="26" t="s">
        <v>572</v>
      </c>
      <c r="H103" s="23" t="s">
        <v>573</v>
      </c>
      <c r="I103" s="27"/>
      <c r="J103" s="28"/>
      <c r="K103" s="27"/>
      <c r="L103" s="24" t="s">
        <v>527</v>
      </c>
      <c r="M103" s="28"/>
    </row>
    <row r="104" spans="1:13" ht="120" customHeight="1">
      <c r="A104" s="23" t="s">
        <v>736</v>
      </c>
      <c r="B104" s="24" t="s">
        <v>530</v>
      </c>
      <c r="C104" s="25" t="s">
        <v>525</v>
      </c>
      <c r="D104" s="26" t="s">
        <v>569</v>
      </c>
      <c r="E104" s="26" t="s">
        <v>574</v>
      </c>
      <c r="F104" s="34" t="s">
        <v>567</v>
      </c>
      <c r="G104" s="26" t="s">
        <v>621</v>
      </c>
      <c r="H104" s="23" t="s">
        <v>622</v>
      </c>
      <c r="I104" s="27"/>
      <c r="J104" s="28"/>
      <c r="K104" s="27"/>
      <c r="L104" s="24" t="s">
        <v>527</v>
      </c>
      <c r="M104" s="28"/>
    </row>
    <row r="105" spans="1:13" ht="120" customHeight="1">
      <c r="A105" s="23" t="s">
        <v>737</v>
      </c>
      <c r="B105" s="24" t="s">
        <v>531</v>
      </c>
      <c r="C105" s="25" t="s">
        <v>525</v>
      </c>
      <c r="D105" s="26" t="s">
        <v>569</v>
      </c>
      <c r="E105" s="26" t="s">
        <v>575</v>
      </c>
      <c r="F105" s="34" t="s">
        <v>567</v>
      </c>
      <c r="G105" s="26" t="s">
        <v>623</v>
      </c>
      <c r="H105" s="23" t="s">
        <v>576</v>
      </c>
      <c r="I105" s="27"/>
      <c r="J105" s="28"/>
      <c r="K105" s="27"/>
      <c r="L105" s="24" t="s">
        <v>535</v>
      </c>
      <c r="M105" s="28"/>
    </row>
    <row r="106" spans="1:13" ht="120" customHeight="1">
      <c r="A106" s="23" t="s">
        <v>675</v>
      </c>
      <c r="B106" s="24" t="s">
        <v>532</v>
      </c>
      <c r="C106" s="25" t="s">
        <v>525</v>
      </c>
      <c r="D106" s="26" t="s">
        <v>624</v>
      </c>
      <c r="E106" s="26" t="s">
        <v>625</v>
      </c>
      <c r="F106" s="34" t="s">
        <v>567</v>
      </c>
      <c r="G106" s="26" t="s">
        <v>626</v>
      </c>
      <c r="H106" s="23" t="s">
        <v>627</v>
      </c>
      <c r="I106" s="27"/>
      <c r="J106" s="28"/>
      <c r="K106" s="27"/>
      <c r="L106" s="24" t="s">
        <v>527</v>
      </c>
      <c r="M106" s="28"/>
    </row>
    <row r="107" spans="1:13" ht="120" customHeight="1">
      <c r="A107" s="23" t="s">
        <v>738</v>
      </c>
      <c r="B107" s="24" t="s">
        <v>533</v>
      </c>
      <c r="C107" s="25" t="s">
        <v>525</v>
      </c>
      <c r="D107" s="26" t="s">
        <v>526</v>
      </c>
      <c r="E107" s="26" t="s">
        <v>577</v>
      </c>
      <c r="F107" s="34" t="s">
        <v>567</v>
      </c>
      <c r="G107" s="26" t="s">
        <v>578</v>
      </c>
      <c r="H107" s="23" t="s">
        <v>579</v>
      </c>
      <c r="I107" s="27"/>
      <c r="J107" s="28"/>
      <c r="K107" s="27"/>
      <c r="L107" s="24" t="s">
        <v>527</v>
      </c>
      <c r="M107" s="28"/>
    </row>
    <row r="108" spans="1:13" ht="120" customHeight="1">
      <c r="A108" s="23" t="s">
        <v>676</v>
      </c>
      <c r="B108" s="24" t="s">
        <v>534</v>
      </c>
      <c r="C108" s="25" t="s">
        <v>525</v>
      </c>
      <c r="D108" s="26" t="s">
        <v>580</v>
      </c>
      <c r="E108" s="26" t="s">
        <v>581</v>
      </c>
      <c r="F108" s="34" t="s">
        <v>567</v>
      </c>
      <c r="G108" s="26" t="s">
        <v>582</v>
      </c>
      <c r="H108" s="23" t="s">
        <v>583</v>
      </c>
      <c r="I108" s="27"/>
      <c r="J108" s="28"/>
      <c r="K108" s="27"/>
      <c r="L108" s="24" t="s">
        <v>535</v>
      </c>
      <c r="M108" s="28"/>
    </row>
    <row r="109" spans="1:13" ht="120" customHeight="1">
      <c r="A109" s="23" t="s">
        <v>739</v>
      </c>
      <c r="B109" s="24" t="s">
        <v>536</v>
      </c>
      <c r="C109" s="25" t="s">
        <v>525</v>
      </c>
      <c r="D109" s="26" t="s">
        <v>569</v>
      </c>
      <c r="E109" s="26" t="s">
        <v>584</v>
      </c>
      <c r="F109" s="34" t="s">
        <v>567</v>
      </c>
      <c r="G109" s="26" t="s">
        <v>585</v>
      </c>
      <c r="H109" s="23" t="s">
        <v>586</v>
      </c>
      <c r="I109" s="27"/>
      <c r="J109" s="28"/>
      <c r="K109" s="27"/>
      <c r="L109" s="24" t="s">
        <v>537</v>
      </c>
      <c r="M109" s="28"/>
    </row>
    <row r="110" spans="1:13" ht="120" customHeight="1">
      <c r="A110" s="23" t="s">
        <v>677</v>
      </c>
      <c r="B110" s="24" t="s">
        <v>538</v>
      </c>
      <c r="C110" s="25" t="s">
        <v>525</v>
      </c>
      <c r="D110" s="26" t="s">
        <v>587</v>
      </c>
      <c r="E110" s="26" t="s">
        <v>588</v>
      </c>
      <c r="F110" s="34" t="s">
        <v>567</v>
      </c>
      <c r="G110" s="26" t="s">
        <v>628</v>
      </c>
      <c r="H110" s="23" t="s">
        <v>629</v>
      </c>
      <c r="I110" s="27"/>
      <c r="J110" s="28"/>
      <c r="K110" s="27"/>
      <c r="L110" s="24" t="s">
        <v>527</v>
      </c>
      <c r="M110" s="28"/>
    </row>
    <row r="111" spans="1:13" ht="120" customHeight="1">
      <c r="A111" s="23" t="s">
        <v>678</v>
      </c>
      <c r="B111" s="24" t="s">
        <v>539</v>
      </c>
      <c r="C111" s="25" t="s">
        <v>525</v>
      </c>
      <c r="D111" s="26" t="s">
        <v>589</v>
      </c>
      <c r="E111" s="26" t="s">
        <v>540</v>
      </c>
      <c r="F111" s="34" t="s">
        <v>590</v>
      </c>
      <c r="G111" s="26" t="s">
        <v>630</v>
      </c>
      <c r="H111" s="23" t="s">
        <v>631</v>
      </c>
      <c r="I111" s="27"/>
      <c r="J111" s="28"/>
      <c r="K111" s="27"/>
      <c r="L111" s="24" t="s">
        <v>527</v>
      </c>
      <c r="M111" s="28"/>
    </row>
    <row r="112" spans="1:13" ht="120" customHeight="1">
      <c r="A112" s="23" t="s">
        <v>679</v>
      </c>
      <c r="B112" s="24" t="s">
        <v>541</v>
      </c>
      <c r="C112" s="25" t="s">
        <v>525</v>
      </c>
      <c r="D112" s="26" t="s">
        <v>591</v>
      </c>
      <c r="E112" s="26" t="s">
        <v>592</v>
      </c>
      <c r="F112" s="34" t="s">
        <v>593</v>
      </c>
      <c r="G112" s="26" t="s">
        <v>594</v>
      </c>
      <c r="H112" s="23" t="s">
        <v>595</v>
      </c>
      <c r="I112" s="27"/>
      <c r="J112" s="28"/>
      <c r="K112" s="27"/>
      <c r="L112" s="24" t="s">
        <v>537</v>
      </c>
      <c r="M112" s="28"/>
    </row>
    <row r="113" spans="1:13" ht="120" customHeight="1">
      <c r="A113" s="23" t="s">
        <v>680</v>
      </c>
      <c r="B113" s="24" t="s">
        <v>542</v>
      </c>
      <c r="C113" s="25" t="s">
        <v>525</v>
      </c>
      <c r="D113" s="26" t="s">
        <v>596</v>
      </c>
      <c r="E113" s="26" t="s">
        <v>597</v>
      </c>
      <c r="F113" s="34" t="s">
        <v>598</v>
      </c>
      <c r="G113" s="26" t="s">
        <v>599</v>
      </c>
      <c r="H113" s="23" t="s">
        <v>600</v>
      </c>
      <c r="I113" s="27"/>
      <c r="J113" s="28"/>
      <c r="K113" s="27"/>
      <c r="L113" s="24" t="s">
        <v>537</v>
      </c>
      <c r="M113" s="28"/>
    </row>
    <row r="114" spans="1:13" ht="120" customHeight="1">
      <c r="A114" s="23" t="s">
        <v>681</v>
      </c>
      <c r="B114" s="24" t="s">
        <v>543</v>
      </c>
      <c r="C114" s="25" t="s">
        <v>525</v>
      </c>
      <c r="D114" s="26" t="s">
        <v>569</v>
      </c>
      <c r="E114" s="26" t="s">
        <v>601</v>
      </c>
      <c r="F114" s="34" t="s">
        <v>567</v>
      </c>
      <c r="G114" s="26" t="s">
        <v>602</v>
      </c>
      <c r="H114" s="23" t="s">
        <v>632</v>
      </c>
      <c r="I114" s="27"/>
      <c r="J114" s="28"/>
      <c r="K114" s="27"/>
      <c r="L114" s="24" t="s">
        <v>527</v>
      </c>
      <c r="M114" s="28"/>
    </row>
    <row r="115" spans="1:13" ht="120" customHeight="1">
      <c r="A115" s="23" t="s">
        <v>682</v>
      </c>
      <c r="B115" s="24" t="s">
        <v>544</v>
      </c>
      <c r="C115" s="25" t="s">
        <v>525</v>
      </c>
      <c r="D115" s="26" t="s">
        <v>526</v>
      </c>
      <c r="E115" s="26" t="s">
        <v>603</v>
      </c>
      <c r="F115" s="34" t="s">
        <v>604</v>
      </c>
      <c r="G115" s="26" t="s">
        <v>605</v>
      </c>
      <c r="H115" s="23" t="s">
        <v>606</v>
      </c>
      <c r="I115" s="27"/>
      <c r="J115" s="28"/>
      <c r="K115" s="27"/>
      <c r="L115" s="24" t="s">
        <v>535</v>
      </c>
      <c r="M115" s="28"/>
    </row>
    <row r="116" spans="1:13" ht="120" customHeight="1">
      <c r="A116" s="23" t="s">
        <v>683</v>
      </c>
      <c r="B116" s="24" t="s">
        <v>550</v>
      </c>
      <c r="C116" s="25" t="s">
        <v>525</v>
      </c>
      <c r="D116" s="26" t="s">
        <v>569</v>
      </c>
      <c r="E116" s="26" t="s">
        <v>607</v>
      </c>
      <c r="F116" s="34" t="s">
        <v>608</v>
      </c>
      <c r="G116" s="26" t="s">
        <v>609</v>
      </c>
      <c r="H116" s="23" t="s">
        <v>610</v>
      </c>
      <c r="I116" s="27"/>
      <c r="J116" s="28"/>
      <c r="K116" s="27"/>
      <c r="L116" s="24" t="s">
        <v>535</v>
      </c>
      <c r="M116" s="28"/>
    </row>
    <row r="117" spans="1:13" ht="120" customHeight="1">
      <c r="A117" s="23" t="s">
        <v>684</v>
      </c>
      <c r="B117" s="24" t="s">
        <v>611</v>
      </c>
      <c r="C117" s="25" t="s">
        <v>525</v>
      </c>
      <c r="D117" s="26" t="s">
        <v>559</v>
      </c>
      <c r="E117" s="26" t="s">
        <v>612</v>
      </c>
      <c r="F117" s="34" t="s">
        <v>613</v>
      </c>
      <c r="G117" s="26" t="s">
        <v>614</v>
      </c>
      <c r="H117" s="23" t="s">
        <v>551</v>
      </c>
      <c r="I117" s="27"/>
      <c r="J117" s="28"/>
      <c r="K117" s="27"/>
      <c r="L117" s="24" t="s">
        <v>535</v>
      </c>
      <c r="M117" s="28"/>
    </row>
    <row r="118" spans="1:13">
      <c r="A118" s="27"/>
      <c r="B118" s="28"/>
      <c r="C118" s="28"/>
      <c r="D118" s="27"/>
      <c r="E118" s="27"/>
      <c r="F118" s="27"/>
      <c r="G118" s="27"/>
      <c r="H118" s="27"/>
      <c r="I118" s="27"/>
      <c r="J118" s="28"/>
      <c r="K118" s="27"/>
      <c r="L118" s="28"/>
      <c r="M118" s="28"/>
    </row>
    <row r="119" spans="1:13">
      <c r="A119" s="27"/>
      <c r="B119" s="28"/>
      <c r="C119" s="28"/>
      <c r="D119" s="27"/>
      <c r="E119" s="27"/>
      <c r="F119" s="27"/>
      <c r="G119" s="27"/>
      <c r="H119" s="27"/>
      <c r="I119" s="27"/>
      <c r="J119" s="28"/>
      <c r="K119" s="27"/>
      <c r="L119" s="28"/>
      <c r="M119" s="28"/>
    </row>
    <row r="120" spans="1:13">
      <c r="A120" s="27"/>
      <c r="B120" s="28"/>
      <c r="C120" s="28"/>
      <c r="D120" s="27"/>
      <c r="E120" s="27"/>
      <c r="F120" s="27"/>
      <c r="G120" s="27"/>
      <c r="H120" s="27"/>
      <c r="I120" s="27"/>
      <c r="J120" s="28"/>
      <c r="K120" s="27"/>
      <c r="L120" s="28"/>
      <c r="M120" s="28"/>
    </row>
    <row r="121" spans="1:13">
      <c r="A121" s="27"/>
      <c r="B121" s="28"/>
      <c r="C121" s="28"/>
      <c r="D121" s="27"/>
      <c r="E121" s="27"/>
      <c r="F121" s="27"/>
      <c r="G121" s="27"/>
      <c r="H121" s="27"/>
      <c r="I121" s="27"/>
      <c r="J121" s="28"/>
      <c r="K121" s="27"/>
      <c r="L121" s="28"/>
      <c r="M121" s="28"/>
    </row>
    <row r="122" spans="1:13">
      <c r="A122" s="27"/>
      <c r="B122" s="28"/>
      <c r="C122" s="28"/>
      <c r="D122" s="27"/>
      <c r="E122" s="27"/>
      <c r="F122" s="27"/>
      <c r="G122" s="27"/>
      <c r="H122" s="27"/>
      <c r="I122" s="27"/>
      <c r="J122" s="28"/>
      <c r="K122" s="27"/>
      <c r="L122" s="28"/>
      <c r="M122" s="28"/>
    </row>
    <row r="123" spans="1:13">
      <c r="A123" s="27"/>
      <c r="B123" s="28"/>
      <c r="C123" s="28"/>
      <c r="D123" s="27"/>
      <c r="E123" s="27"/>
      <c r="F123" s="27"/>
      <c r="G123" s="27"/>
      <c r="H123" s="27"/>
      <c r="I123" s="27"/>
      <c r="J123" s="28"/>
      <c r="K123" s="27"/>
      <c r="L123" s="28"/>
      <c r="M123" s="28"/>
    </row>
    <row r="124" spans="1:13">
      <c r="A124" s="27"/>
      <c r="B124" s="28"/>
      <c r="C124" s="28"/>
      <c r="D124" s="27"/>
      <c r="E124" s="27"/>
      <c r="F124" s="27"/>
      <c r="G124" s="27"/>
      <c r="H124" s="27"/>
      <c r="I124" s="27"/>
      <c r="J124" s="28"/>
      <c r="K124" s="27"/>
      <c r="L124" s="28"/>
      <c r="M124" s="28"/>
    </row>
    <row r="125" spans="1:13">
      <c r="A125" s="27"/>
      <c r="B125" s="28"/>
      <c r="C125" s="28"/>
      <c r="D125" s="27"/>
      <c r="E125" s="27"/>
      <c r="F125" s="27"/>
      <c r="G125" s="27"/>
      <c r="H125" s="27"/>
      <c r="I125" s="27"/>
      <c r="J125" s="28"/>
      <c r="K125" s="27"/>
      <c r="L125" s="28"/>
      <c r="M125" s="28"/>
    </row>
    <row r="126" spans="1:13">
      <c r="A126" s="27"/>
      <c r="B126" s="28"/>
      <c r="C126" s="28"/>
      <c r="D126" s="27"/>
      <c r="E126" s="27"/>
      <c r="F126" s="27"/>
      <c r="G126" s="27"/>
      <c r="H126" s="27"/>
      <c r="I126" s="27"/>
      <c r="J126" s="28"/>
      <c r="K126" s="27"/>
      <c r="L126" s="28"/>
      <c r="M126" s="28"/>
    </row>
    <row r="127" spans="1:13">
      <c r="A127" s="27"/>
      <c r="B127" s="28"/>
      <c r="C127" s="28"/>
      <c r="D127" s="27"/>
      <c r="E127" s="27"/>
      <c r="F127" s="27"/>
      <c r="G127" s="27"/>
      <c r="H127" s="27"/>
      <c r="I127" s="27"/>
      <c r="J127" s="28"/>
      <c r="K127" s="27"/>
      <c r="L127" s="28"/>
      <c r="M127" s="28"/>
    </row>
    <row r="128" spans="1:13">
      <c r="A128" s="27"/>
      <c r="B128" s="28"/>
      <c r="C128" s="28"/>
      <c r="D128" s="27"/>
      <c r="E128" s="27"/>
      <c r="F128" s="27"/>
      <c r="G128" s="27"/>
      <c r="H128" s="27"/>
      <c r="I128" s="27"/>
      <c r="J128" s="28"/>
      <c r="K128" s="27"/>
      <c r="L128" s="28"/>
      <c r="M128" s="28"/>
    </row>
    <row r="129" spans="1:13">
      <c r="A129" s="27"/>
      <c r="B129" s="28"/>
      <c r="C129" s="28"/>
      <c r="D129" s="27"/>
      <c r="E129" s="27"/>
      <c r="F129" s="27"/>
      <c r="G129" s="27"/>
      <c r="H129" s="27"/>
      <c r="I129" s="27"/>
      <c r="J129" s="28"/>
      <c r="K129" s="27"/>
      <c r="L129" s="28"/>
      <c r="M129" s="28"/>
    </row>
    <row r="130" spans="1:13">
      <c r="A130" s="27"/>
      <c r="B130" s="28"/>
      <c r="C130" s="28"/>
      <c r="D130" s="27"/>
      <c r="E130" s="27"/>
      <c r="F130" s="27"/>
      <c r="G130" s="27"/>
      <c r="H130" s="27"/>
      <c r="I130" s="27"/>
      <c r="J130" s="28"/>
      <c r="K130" s="27"/>
      <c r="L130" s="28"/>
      <c r="M130" s="28"/>
    </row>
    <row r="131" spans="1:13">
      <c r="A131" s="27"/>
      <c r="B131" s="28"/>
      <c r="C131" s="28"/>
      <c r="D131" s="27"/>
      <c r="E131" s="27"/>
      <c r="F131" s="27"/>
      <c r="G131" s="27"/>
      <c r="H131" s="27"/>
      <c r="I131" s="27"/>
      <c r="J131" s="28"/>
      <c r="K131" s="27"/>
      <c r="L131" s="28"/>
      <c r="M131" s="28"/>
    </row>
    <row r="132" spans="1:13">
      <c r="A132" s="27"/>
      <c r="B132" s="28"/>
      <c r="C132" s="28"/>
      <c r="D132" s="27"/>
      <c r="E132" s="27"/>
      <c r="F132" s="27"/>
      <c r="G132" s="27"/>
      <c r="H132" s="27"/>
      <c r="I132" s="27"/>
      <c r="J132" s="28"/>
      <c r="K132" s="27"/>
      <c r="L132" s="28"/>
      <c r="M132" s="28"/>
    </row>
    <row r="133" spans="1:13">
      <c r="A133" s="27"/>
      <c r="B133" s="28"/>
      <c r="C133" s="28"/>
      <c r="D133" s="27"/>
      <c r="E133" s="27"/>
      <c r="F133" s="27"/>
      <c r="G133" s="27"/>
      <c r="H133" s="27"/>
      <c r="I133" s="27"/>
      <c r="J133" s="28"/>
      <c r="K133" s="27"/>
      <c r="L133" s="28"/>
      <c r="M133" s="28"/>
    </row>
    <row r="134" spans="1:13">
      <c r="A134" s="27"/>
      <c r="B134" s="28"/>
      <c r="C134" s="28"/>
      <c r="D134" s="27"/>
      <c r="E134" s="27"/>
      <c r="F134" s="27"/>
      <c r="G134" s="27"/>
      <c r="H134" s="27"/>
      <c r="I134" s="27"/>
      <c r="J134" s="28"/>
      <c r="K134" s="27"/>
      <c r="L134" s="28"/>
      <c r="M134" s="28"/>
    </row>
    <row r="135" spans="1:13">
      <c r="A135" s="27"/>
      <c r="B135" s="28"/>
      <c r="C135" s="28"/>
      <c r="D135" s="27"/>
      <c r="E135" s="27"/>
      <c r="F135" s="27"/>
      <c r="G135" s="27"/>
      <c r="H135" s="27"/>
      <c r="I135" s="27"/>
      <c r="J135" s="28"/>
      <c r="K135" s="27"/>
      <c r="L135" s="28"/>
      <c r="M135" s="28"/>
    </row>
    <row r="136" spans="1:13">
      <c r="A136" s="27"/>
      <c r="B136" s="28"/>
      <c r="C136" s="28"/>
      <c r="D136" s="27"/>
      <c r="E136" s="27"/>
      <c r="F136" s="27"/>
      <c r="G136" s="27"/>
      <c r="H136" s="27"/>
      <c r="I136" s="27"/>
      <c r="J136" s="28"/>
      <c r="K136" s="27"/>
      <c r="L136" s="28"/>
      <c r="M136" s="28"/>
    </row>
    <row r="137" spans="1:13">
      <c r="A137" s="27"/>
      <c r="B137" s="28"/>
      <c r="C137" s="28"/>
      <c r="D137" s="27"/>
      <c r="E137" s="27"/>
      <c r="F137" s="27"/>
      <c r="G137" s="27"/>
      <c r="H137" s="27"/>
      <c r="I137" s="27"/>
      <c r="J137" s="28"/>
      <c r="K137" s="27"/>
      <c r="L137" s="28"/>
      <c r="M137" s="28"/>
    </row>
    <row r="138" spans="1:13">
      <c r="A138" s="27"/>
      <c r="B138" s="28"/>
      <c r="C138" s="28"/>
      <c r="D138" s="27"/>
      <c r="E138" s="27"/>
      <c r="F138" s="27"/>
      <c r="G138" s="27"/>
      <c r="H138" s="27"/>
      <c r="I138" s="27"/>
      <c r="J138" s="28"/>
      <c r="K138" s="27"/>
      <c r="L138" s="28"/>
      <c r="M138" s="28"/>
    </row>
    <row r="139" spans="1:13">
      <c r="A139" s="27"/>
      <c r="B139" s="28"/>
      <c r="C139" s="28"/>
      <c r="D139" s="27"/>
      <c r="E139" s="27"/>
      <c r="F139" s="27"/>
      <c r="G139" s="27"/>
      <c r="H139" s="27"/>
      <c r="I139" s="27"/>
      <c r="J139" s="28"/>
      <c r="K139" s="27"/>
      <c r="L139" s="28"/>
      <c r="M139" s="28"/>
    </row>
    <row r="140" spans="1:13">
      <c r="A140" s="27"/>
      <c r="B140" s="28"/>
      <c r="C140" s="28"/>
      <c r="D140" s="27"/>
      <c r="E140" s="27"/>
      <c r="F140" s="27"/>
      <c r="G140" s="27"/>
      <c r="H140" s="27"/>
      <c r="I140" s="27"/>
      <c r="J140" s="28"/>
      <c r="K140" s="27"/>
      <c r="L140" s="28"/>
      <c r="M140" s="28"/>
    </row>
    <row r="141" spans="1:13">
      <c r="A141" s="27"/>
      <c r="B141" s="28"/>
      <c r="C141" s="28"/>
      <c r="D141" s="27"/>
      <c r="E141" s="27"/>
      <c r="F141" s="27"/>
      <c r="G141" s="27"/>
      <c r="H141" s="27"/>
      <c r="I141" s="27"/>
      <c r="J141" s="28"/>
      <c r="K141" s="27"/>
      <c r="L141" s="28"/>
      <c r="M141" s="28"/>
    </row>
    <row r="142" spans="1:13">
      <c r="A142" s="27"/>
      <c r="B142" s="28"/>
      <c r="C142" s="28"/>
      <c r="D142" s="27"/>
      <c r="E142" s="27"/>
      <c r="F142" s="27"/>
      <c r="G142" s="27"/>
      <c r="H142" s="27"/>
      <c r="I142" s="27"/>
      <c r="J142" s="28"/>
      <c r="K142" s="27"/>
      <c r="L142" s="28"/>
      <c r="M142" s="28"/>
    </row>
    <row r="143" spans="1:13">
      <c r="A143" s="27"/>
      <c r="B143" s="28"/>
      <c r="C143" s="28"/>
      <c r="D143" s="27"/>
      <c r="E143" s="27"/>
      <c r="F143" s="27"/>
      <c r="G143" s="27"/>
      <c r="H143" s="27"/>
      <c r="I143" s="27"/>
      <c r="J143" s="28"/>
      <c r="K143" s="27"/>
      <c r="L143" s="28"/>
      <c r="M143" s="28"/>
    </row>
    <row r="144" spans="1:13">
      <c r="A144" s="27"/>
      <c r="B144" s="28"/>
      <c r="C144" s="28"/>
      <c r="D144" s="27"/>
      <c r="E144" s="27"/>
      <c r="F144" s="27"/>
      <c r="G144" s="27"/>
      <c r="H144" s="27"/>
      <c r="I144" s="27"/>
      <c r="J144" s="28"/>
      <c r="K144" s="27"/>
      <c r="L144" s="28"/>
      <c r="M144" s="28"/>
    </row>
    <row r="145" spans="1:13">
      <c r="A145" s="27"/>
      <c r="B145" s="28"/>
      <c r="C145" s="28"/>
      <c r="D145" s="27"/>
      <c r="E145" s="27"/>
      <c r="F145" s="27"/>
      <c r="G145" s="27"/>
      <c r="H145" s="27"/>
      <c r="I145" s="27"/>
      <c r="J145" s="28"/>
      <c r="K145" s="27"/>
      <c r="L145" s="28"/>
      <c r="M145" s="28"/>
    </row>
    <row r="146" spans="1:13">
      <c r="A146" s="27"/>
      <c r="B146" s="28"/>
      <c r="C146" s="28"/>
      <c r="D146" s="27"/>
      <c r="E146" s="27"/>
      <c r="F146" s="27"/>
      <c r="G146" s="27"/>
      <c r="H146" s="27"/>
      <c r="I146" s="27"/>
      <c r="J146" s="28"/>
      <c r="K146" s="27"/>
      <c r="L146" s="28"/>
      <c r="M146" s="28"/>
    </row>
    <row r="147" spans="1:13">
      <c r="A147" s="27"/>
      <c r="B147" s="28"/>
      <c r="C147" s="28"/>
      <c r="D147" s="27"/>
      <c r="E147" s="27"/>
      <c r="F147" s="27"/>
      <c r="G147" s="27"/>
      <c r="H147" s="27"/>
      <c r="I147" s="27"/>
      <c r="J147" s="28"/>
      <c r="K147" s="27"/>
      <c r="L147" s="28"/>
      <c r="M147" s="28"/>
    </row>
    <row r="148" spans="1:13">
      <c r="A148" s="27"/>
      <c r="B148" s="28"/>
      <c r="C148" s="28"/>
      <c r="D148" s="27"/>
      <c r="E148" s="27"/>
      <c r="F148" s="27"/>
      <c r="G148" s="27"/>
      <c r="H148" s="27"/>
      <c r="I148" s="27"/>
      <c r="J148" s="28"/>
      <c r="K148" s="27"/>
      <c r="L148" s="28"/>
      <c r="M148" s="28"/>
    </row>
    <row r="149" spans="1:13">
      <c r="A149" s="27"/>
      <c r="B149" s="28"/>
      <c r="C149" s="28"/>
      <c r="D149" s="27"/>
      <c r="E149" s="27"/>
      <c r="F149" s="27"/>
      <c r="G149" s="27"/>
      <c r="H149" s="27"/>
      <c r="I149" s="27"/>
      <c r="J149" s="28"/>
      <c r="K149" s="27"/>
      <c r="L149" s="28"/>
      <c r="M149" s="28"/>
    </row>
    <row r="150" spans="1:13">
      <c r="A150" s="27"/>
      <c r="B150" s="28"/>
      <c r="C150" s="28"/>
      <c r="D150" s="27"/>
      <c r="E150" s="27"/>
      <c r="F150" s="27"/>
      <c r="G150" s="27"/>
      <c r="H150" s="27"/>
      <c r="I150" s="27"/>
      <c r="J150" s="28"/>
      <c r="K150" s="27"/>
      <c r="L150" s="28"/>
      <c r="M150" s="28"/>
    </row>
    <row r="151" spans="1:13">
      <c r="A151" s="27"/>
      <c r="B151" s="28"/>
      <c r="C151" s="28"/>
      <c r="D151" s="27"/>
      <c r="E151" s="27"/>
      <c r="F151" s="27"/>
      <c r="G151" s="27"/>
      <c r="H151" s="27"/>
      <c r="I151" s="27"/>
      <c r="J151" s="28"/>
      <c r="K151" s="27"/>
      <c r="L151" s="28"/>
      <c r="M151" s="28"/>
    </row>
    <row r="152" spans="1:13">
      <c r="A152" s="27"/>
      <c r="B152" s="28"/>
      <c r="C152" s="28"/>
      <c r="D152" s="27"/>
      <c r="E152" s="27"/>
      <c r="F152" s="27"/>
      <c r="G152" s="27"/>
      <c r="H152" s="27"/>
      <c r="I152" s="27"/>
      <c r="J152" s="28"/>
      <c r="K152" s="27"/>
      <c r="L152" s="28"/>
      <c r="M152" s="28"/>
    </row>
    <row r="153" spans="1:13">
      <c r="A153" s="27"/>
      <c r="B153" s="28"/>
      <c r="C153" s="28"/>
      <c r="D153" s="27"/>
      <c r="E153" s="27"/>
      <c r="F153" s="27"/>
      <c r="G153" s="27"/>
      <c r="H153" s="27"/>
      <c r="I153" s="27"/>
      <c r="J153" s="28"/>
      <c r="K153" s="27"/>
      <c r="L153" s="28"/>
      <c r="M153" s="28"/>
    </row>
    <row r="154" spans="1:13">
      <c r="A154" s="27"/>
      <c r="B154" s="28"/>
      <c r="C154" s="28"/>
      <c r="D154" s="27"/>
      <c r="E154" s="27"/>
      <c r="F154" s="27"/>
      <c r="G154" s="27"/>
      <c r="H154" s="27"/>
      <c r="I154" s="27"/>
      <c r="J154" s="28"/>
      <c r="K154" s="27"/>
      <c r="L154" s="28"/>
      <c r="M154" s="28"/>
    </row>
    <row r="155" spans="1:13">
      <c r="A155" s="27"/>
      <c r="B155" s="28"/>
      <c r="C155" s="28"/>
      <c r="D155" s="27"/>
      <c r="E155" s="27"/>
      <c r="F155" s="27"/>
      <c r="G155" s="27"/>
      <c r="H155" s="27"/>
      <c r="I155" s="27"/>
      <c r="J155" s="28"/>
      <c r="K155" s="27"/>
      <c r="L155" s="28"/>
      <c r="M155" s="28"/>
    </row>
    <row r="156" spans="1:13">
      <c r="A156" s="27"/>
      <c r="B156" s="28"/>
      <c r="C156" s="28"/>
      <c r="D156" s="27"/>
      <c r="E156" s="27"/>
      <c r="F156" s="27"/>
      <c r="G156" s="27"/>
      <c r="H156" s="27"/>
      <c r="I156" s="27"/>
      <c r="J156" s="28"/>
      <c r="K156" s="27"/>
      <c r="L156" s="28"/>
      <c r="M156" s="28"/>
    </row>
    <row r="157" spans="1:13">
      <c r="A157" s="27"/>
      <c r="B157" s="28"/>
      <c r="C157" s="28"/>
      <c r="D157" s="27"/>
      <c r="E157" s="27"/>
      <c r="F157" s="27"/>
      <c r="G157" s="27"/>
      <c r="H157" s="27"/>
      <c r="I157" s="27"/>
      <c r="J157" s="28"/>
      <c r="K157" s="27"/>
      <c r="L157" s="28"/>
      <c r="M157" s="28"/>
    </row>
    <row r="158" spans="1:13">
      <c r="A158" s="27"/>
      <c r="B158" s="28"/>
      <c r="C158" s="28"/>
      <c r="D158" s="27"/>
      <c r="E158" s="27"/>
      <c r="F158" s="27"/>
      <c r="G158" s="27"/>
      <c r="H158" s="27"/>
      <c r="I158" s="27"/>
      <c r="J158" s="28"/>
      <c r="K158" s="27"/>
      <c r="L158" s="28"/>
      <c r="M158" s="28"/>
    </row>
    <row r="159" spans="1:13">
      <c r="A159" s="27"/>
      <c r="B159" s="28"/>
      <c r="C159" s="28"/>
      <c r="D159" s="27"/>
      <c r="E159" s="27"/>
      <c r="F159" s="27"/>
      <c r="G159" s="27"/>
      <c r="H159" s="27"/>
      <c r="I159" s="27"/>
      <c r="J159" s="28"/>
      <c r="K159" s="27"/>
      <c r="L159" s="28"/>
      <c r="M159" s="28"/>
    </row>
    <row r="160" spans="1:13">
      <c r="A160" s="27"/>
      <c r="B160" s="28"/>
      <c r="C160" s="28"/>
      <c r="D160" s="27"/>
      <c r="E160" s="27"/>
      <c r="F160" s="27"/>
      <c r="G160" s="27"/>
      <c r="H160" s="27"/>
      <c r="I160" s="27"/>
      <c r="J160" s="28"/>
      <c r="K160" s="27"/>
      <c r="L160" s="28"/>
      <c r="M160" s="28"/>
    </row>
    <row r="161" spans="1:13">
      <c r="A161" s="27"/>
      <c r="B161" s="28"/>
      <c r="C161" s="28"/>
      <c r="D161" s="27"/>
      <c r="E161" s="27"/>
      <c r="F161" s="27"/>
      <c r="G161" s="27"/>
      <c r="H161" s="27"/>
      <c r="I161" s="27"/>
      <c r="J161" s="28"/>
      <c r="K161" s="27"/>
      <c r="L161" s="28"/>
      <c r="M161" s="28"/>
    </row>
    <row r="162" spans="1:13">
      <c r="A162" s="27"/>
      <c r="B162" s="28"/>
      <c r="C162" s="28"/>
      <c r="D162" s="27"/>
      <c r="E162" s="27"/>
      <c r="F162" s="27"/>
      <c r="G162" s="27"/>
      <c r="H162" s="27"/>
      <c r="I162" s="27"/>
      <c r="J162" s="28"/>
      <c r="K162" s="27"/>
      <c r="L162" s="28"/>
      <c r="M162" s="28"/>
    </row>
    <row r="163" spans="1:13">
      <c r="A163" s="27"/>
      <c r="B163" s="28"/>
      <c r="C163" s="28"/>
      <c r="D163" s="27"/>
      <c r="E163" s="27"/>
      <c r="F163" s="27"/>
      <c r="G163" s="27"/>
      <c r="H163" s="27"/>
      <c r="I163" s="27"/>
      <c r="J163" s="28"/>
      <c r="K163" s="27"/>
      <c r="L163" s="28"/>
      <c r="M163" s="28"/>
    </row>
    <row r="164" spans="1:13">
      <c r="A164" s="27"/>
      <c r="B164" s="28"/>
      <c r="C164" s="28"/>
      <c r="D164" s="27"/>
      <c r="E164" s="27"/>
      <c r="F164" s="27"/>
      <c r="G164" s="27"/>
      <c r="H164" s="27"/>
      <c r="I164" s="27"/>
      <c r="J164" s="28"/>
      <c r="K164" s="27"/>
      <c r="L164" s="28"/>
      <c r="M164" s="28"/>
    </row>
    <row r="165" spans="1:13">
      <c r="A165" s="27"/>
      <c r="B165" s="28"/>
      <c r="C165" s="28"/>
      <c r="D165" s="27"/>
      <c r="E165" s="27"/>
      <c r="F165" s="27"/>
      <c r="G165" s="27"/>
      <c r="H165" s="27"/>
      <c r="I165" s="27"/>
      <c r="J165" s="28"/>
      <c r="K165" s="27"/>
      <c r="L165" s="28"/>
      <c r="M165" s="28"/>
    </row>
    <row r="166" spans="1:13">
      <c r="A166" s="27"/>
      <c r="B166" s="28"/>
      <c r="C166" s="28"/>
      <c r="D166" s="27"/>
      <c r="E166" s="27"/>
      <c r="F166" s="27"/>
      <c r="G166" s="27"/>
      <c r="H166" s="27"/>
      <c r="I166" s="27"/>
      <c r="J166" s="28"/>
      <c r="K166" s="27"/>
      <c r="L166" s="28"/>
      <c r="M166" s="28"/>
    </row>
    <row r="167" spans="1:13">
      <c r="A167" s="27"/>
      <c r="B167" s="28"/>
      <c r="C167" s="28"/>
      <c r="D167" s="27"/>
      <c r="E167" s="27"/>
      <c r="F167" s="27"/>
      <c r="G167" s="27"/>
      <c r="H167" s="27"/>
      <c r="I167" s="27"/>
      <c r="J167" s="28"/>
      <c r="K167" s="27"/>
      <c r="L167" s="28"/>
      <c r="M167" s="28"/>
    </row>
    <row r="168" spans="1:13">
      <c r="A168" s="27"/>
      <c r="B168" s="28"/>
      <c r="C168" s="28"/>
      <c r="D168" s="27"/>
      <c r="E168" s="27"/>
      <c r="F168" s="27"/>
      <c r="G168" s="27"/>
      <c r="H168" s="27"/>
      <c r="I168" s="27"/>
      <c r="J168" s="28"/>
      <c r="K168" s="27"/>
      <c r="L168" s="28"/>
      <c r="M168" s="28"/>
    </row>
    <row r="169" spans="1:13">
      <c r="A169" s="27"/>
      <c r="B169" s="28"/>
      <c r="C169" s="28"/>
      <c r="D169" s="27"/>
      <c r="E169" s="27"/>
      <c r="F169" s="27"/>
      <c r="G169" s="27"/>
      <c r="H169" s="27"/>
      <c r="I169" s="27"/>
      <c r="J169" s="28"/>
      <c r="K169" s="27"/>
      <c r="L169" s="28"/>
      <c r="M169" s="28"/>
    </row>
    <row r="170" spans="1:13">
      <c r="A170" s="27"/>
      <c r="B170" s="28"/>
      <c r="C170" s="28"/>
      <c r="D170" s="27"/>
      <c r="E170" s="27"/>
      <c r="F170" s="27"/>
      <c r="G170" s="27"/>
      <c r="H170" s="27"/>
      <c r="I170" s="27"/>
      <c r="J170" s="28"/>
      <c r="K170" s="27"/>
      <c r="L170" s="28"/>
      <c r="M170" s="28"/>
    </row>
    <row r="171" spans="1:13">
      <c r="A171" s="27"/>
      <c r="B171" s="28"/>
      <c r="C171" s="28"/>
      <c r="D171" s="27"/>
      <c r="E171" s="27"/>
      <c r="F171" s="27"/>
      <c r="G171" s="27"/>
      <c r="H171" s="27"/>
      <c r="I171" s="27"/>
      <c r="J171" s="28"/>
      <c r="K171" s="27"/>
      <c r="L171" s="28"/>
      <c r="M171" s="28"/>
    </row>
    <row r="172" spans="1:13">
      <c r="A172" s="27"/>
      <c r="B172" s="28"/>
      <c r="C172" s="28"/>
      <c r="D172" s="27"/>
      <c r="E172" s="27"/>
      <c r="F172" s="27"/>
      <c r="G172" s="27"/>
      <c r="H172" s="27"/>
      <c r="I172" s="27"/>
      <c r="J172" s="28"/>
      <c r="K172" s="27"/>
      <c r="L172" s="28"/>
      <c r="M172" s="28"/>
    </row>
    <row r="173" spans="1:13">
      <c r="A173" s="27"/>
      <c r="B173" s="28"/>
      <c r="C173" s="28"/>
      <c r="D173" s="27"/>
      <c r="E173" s="27"/>
      <c r="F173" s="27"/>
      <c r="G173" s="27"/>
      <c r="H173" s="27"/>
      <c r="I173" s="27"/>
      <c r="J173" s="28"/>
      <c r="K173" s="27"/>
      <c r="L173" s="28"/>
      <c r="M173" s="28"/>
    </row>
    <row r="174" spans="1:13">
      <c r="A174" s="27"/>
      <c r="B174" s="28"/>
      <c r="C174" s="28"/>
      <c r="D174" s="27"/>
      <c r="E174" s="27"/>
      <c r="F174" s="27"/>
      <c r="G174" s="27"/>
      <c r="H174" s="27"/>
      <c r="I174" s="27"/>
      <c r="J174" s="28"/>
      <c r="K174" s="27"/>
      <c r="L174" s="28"/>
      <c r="M174" s="28"/>
    </row>
    <row r="175" spans="1:13">
      <c r="A175" s="27"/>
      <c r="B175" s="28"/>
      <c r="C175" s="28"/>
      <c r="D175" s="27"/>
      <c r="E175" s="27"/>
      <c r="F175" s="27"/>
      <c r="G175" s="27"/>
      <c r="H175" s="27"/>
      <c r="I175" s="27"/>
      <c r="J175" s="28"/>
      <c r="K175" s="27"/>
      <c r="L175" s="28"/>
      <c r="M175" s="28"/>
    </row>
    <row r="176" spans="1:13">
      <c r="A176" s="27"/>
      <c r="B176" s="28"/>
      <c r="C176" s="28"/>
      <c r="D176" s="27"/>
      <c r="E176" s="27"/>
      <c r="F176" s="27"/>
      <c r="G176" s="27"/>
      <c r="H176" s="27"/>
      <c r="I176" s="27"/>
      <c r="J176" s="28"/>
      <c r="K176" s="27"/>
      <c r="L176" s="28"/>
      <c r="M176" s="28"/>
    </row>
    <row r="177" spans="1:13">
      <c r="A177" s="27"/>
      <c r="B177" s="28"/>
      <c r="C177" s="28"/>
      <c r="D177" s="27"/>
      <c r="E177" s="27"/>
      <c r="F177" s="27"/>
      <c r="G177" s="27"/>
      <c r="H177" s="27"/>
      <c r="I177" s="27"/>
      <c r="J177" s="28"/>
      <c r="K177" s="27"/>
      <c r="L177" s="28"/>
      <c r="M177" s="28"/>
    </row>
    <row r="178" spans="1:13">
      <c r="A178" s="27"/>
      <c r="B178" s="28"/>
      <c r="C178" s="28"/>
      <c r="D178" s="27"/>
      <c r="E178" s="27"/>
      <c r="F178" s="27"/>
      <c r="G178" s="27"/>
      <c r="H178" s="27"/>
      <c r="I178" s="27"/>
      <c r="J178" s="28"/>
      <c r="K178" s="27"/>
      <c r="L178" s="28"/>
      <c r="M178" s="28"/>
    </row>
    <row r="179" spans="1:13">
      <c r="A179" s="27"/>
      <c r="B179" s="28"/>
      <c r="C179" s="28"/>
      <c r="D179" s="27"/>
      <c r="E179" s="27"/>
      <c r="F179" s="27"/>
      <c r="G179" s="27"/>
      <c r="H179" s="27"/>
      <c r="I179" s="27"/>
      <c r="J179" s="28"/>
      <c r="K179" s="27"/>
      <c r="L179" s="28"/>
      <c r="M179" s="28"/>
    </row>
    <row r="180" spans="1:13">
      <c r="A180" s="27"/>
      <c r="B180" s="28"/>
      <c r="C180" s="28"/>
      <c r="D180" s="27"/>
      <c r="E180" s="27"/>
      <c r="F180" s="27"/>
      <c r="G180" s="27"/>
      <c r="H180" s="27"/>
      <c r="I180" s="27"/>
      <c r="J180" s="28"/>
      <c r="K180" s="27"/>
      <c r="L180" s="28"/>
      <c r="M180" s="28"/>
    </row>
    <row r="181" spans="1:13">
      <c r="A181" s="27"/>
      <c r="B181" s="28"/>
      <c r="C181" s="28"/>
      <c r="D181" s="27"/>
      <c r="E181" s="27"/>
      <c r="F181" s="27"/>
      <c r="G181" s="27"/>
      <c r="H181" s="27"/>
      <c r="I181" s="27"/>
      <c r="J181" s="28"/>
      <c r="K181" s="27"/>
      <c r="L181" s="28"/>
      <c r="M181" s="28"/>
    </row>
    <row r="182" spans="1:13">
      <c r="A182" s="27"/>
      <c r="B182" s="28"/>
      <c r="C182" s="28"/>
      <c r="D182" s="27"/>
      <c r="E182" s="27"/>
      <c r="F182" s="27"/>
      <c r="G182" s="27"/>
      <c r="H182" s="27"/>
      <c r="I182" s="27"/>
      <c r="J182" s="28"/>
      <c r="K182" s="27"/>
      <c r="L182" s="28"/>
      <c r="M182" s="28"/>
    </row>
    <row r="183" spans="1:13">
      <c r="A183" s="27"/>
      <c r="B183" s="28"/>
      <c r="C183" s="28"/>
      <c r="D183" s="27"/>
      <c r="E183" s="27"/>
      <c r="F183" s="27"/>
      <c r="G183" s="27"/>
      <c r="H183" s="27"/>
      <c r="I183" s="27"/>
      <c r="J183" s="28"/>
      <c r="K183" s="27"/>
      <c r="L183" s="28"/>
      <c r="M183" s="28"/>
    </row>
    <row r="184" spans="1:13">
      <c r="A184" s="27"/>
      <c r="B184" s="28"/>
      <c r="C184" s="28"/>
      <c r="D184" s="27"/>
      <c r="E184" s="27"/>
      <c r="F184" s="27"/>
      <c r="G184" s="27"/>
      <c r="H184" s="27"/>
      <c r="I184" s="27"/>
      <c r="J184" s="28"/>
      <c r="K184" s="27"/>
      <c r="L184" s="28"/>
      <c r="M184" s="28"/>
    </row>
    <row r="185" spans="1:13">
      <c r="A185" s="27"/>
      <c r="B185" s="28"/>
      <c r="C185" s="28"/>
      <c r="D185" s="27"/>
      <c r="E185" s="27"/>
      <c r="F185" s="27"/>
      <c r="G185" s="27"/>
      <c r="H185" s="27"/>
      <c r="I185" s="27"/>
      <c r="J185" s="28"/>
      <c r="K185" s="27"/>
      <c r="L185" s="28"/>
      <c r="M185" s="28"/>
    </row>
    <row r="186" spans="1:13">
      <c r="A186" s="27"/>
      <c r="B186" s="28"/>
      <c r="C186" s="28"/>
      <c r="D186" s="27"/>
      <c r="E186" s="27"/>
      <c r="F186" s="27"/>
      <c r="G186" s="27"/>
      <c r="H186" s="27"/>
      <c r="I186" s="27"/>
      <c r="J186" s="28"/>
      <c r="K186" s="27"/>
      <c r="L186" s="28"/>
      <c r="M186" s="28"/>
    </row>
    <row r="187" spans="1:13">
      <c r="A187" s="27"/>
      <c r="B187" s="28"/>
      <c r="C187" s="28"/>
      <c r="D187" s="27"/>
      <c r="E187" s="27"/>
      <c r="F187" s="27"/>
      <c r="G187" s="27"/>
      <c r="H187" s="27"/>
      <c r="I187" s="27"/>
      <c r="J187" s="28"/>
      <c r="K187" s="27"/>
      <c r="L187" s="28"/>
      <c r="M187" s="28"/>
    </row>
    <row r="188" spans="1:13">
      <c r="A188" s="27"/>
      <c r="B188" s="28"/>
      <c r="C188" s="28"/>
      <c r="D188" s="27"/>
      <c r="E188" s="27"/>
      <c r="F188" s="27"/>
      <c r="G188" s="27"/>
      <c r="H188" s="27"/>
      <c r="I188" s="27"/>
      <c r="J188" s="28"/>
      <c r="K188" s="27"/>
      <c r="L188" s="28"/>
      <c r="M188" s="28"/>
    </row>
    <row r="189" spans="1:13">
      <c r="A189" s="27"/>
      <c r="B189" s="28"/>
      <c r="C189" s="28"/>
      <c r="D189" s="27"/>
      <c r="E189" s="27"/>
      <c r="F189" s="27"/>
      <c r="G189" s="27"/>
      <c r="H189" s="27"/>
      <c r="I189" s="27"/>
      <c r="J189" s="28"/>
      <c r="K189" s="27"/>
      <c r="L189" s="28"/>
      <c r="M189" s="28"/>
    </row>
    <row r="190" spans="1:13">
      <c r="A190" s="27"/>
      <c r="B190" s="28"/>
      <c r="C190" s="28"/>
      <c r="D190" s="27"/>
      <c r="E190" s="27"/>
      <c r="F190" s="27"/>
      <c r="G190" s="27"/>
      <c r="H190" s="27"/>
      <c r="I190" s="27"/>
      <c r="J190" s="28"/>
      <c r="K190" s="27"/>
      <c r="L190" s="28"/>
      <c r="M190" s="28"/>
    </row>
    <row r="191" spans="1:13">
      <c r="A191" s="27"/>
      <c r="B191" s="28"/>
      <c r="C191" s="28"/>
      <c r="D191" s="27"/>
      <c r="E191" s="27"/>
      <c r="F191" s="27"/>
      <c r="G191" s="27"/>
      <c r="H191" s="27"/>
      <c r="I191" s="27"/>
      <c r="J191" s="28"/>
      <c r="K191" s="27"/>
      <c r="L191" s="28"/>
      <c r="M191" s="28"/>
    </row>
    <row r="192" spans="1:13">
      <c r="A192" s="27"/>
      <c r="B192" s="28"/>
      <c r="C192" s="28"/>
      <c r="D192" s="27"/>
      <c r="E192" s="27"/>
      <c r="F192" s="27"/>
      <c r="G192" s="27"/>
      <c r="H192" s="27"/>
      <c r="I192" s="27"/>
      <c r="J192" s="28"/>
      <c r="K192" s="27"/>
      <c r="L192" s="28"/>
      <c r="M192" s="28"/>
    </row>
    <row r="193" spans="1:13">
      <c r="A193" s="27"/>
      <c r="B193" s="28"/>
      <c r="C193" s="28"/>
      <c r="D193" s="27"/>
      <c r="E193" s="27"/>
      <c r="F193" s="27"/>
      <c r="G193" s="27"/>
      <c r="H193" s="27"/>
      <c r="I193" s="27"/>
      <c r="J193" s="28"/>
      <c r="K193" s="27"/>
      <c r="L193" s="28"/>
      <c r="M193" s="28"/>
    </row>
    <row r="194" spans="1:13">
      <c r="A194" s="27"/>
      <c r="B194" s="28"/>
      <c r="C194" s="28"/>
      <c r="D194" s="27"/>
      <c r="E194" s="27"/>
      <c r="F194" s="27"/>
      <c r="G194" s="27"/>
      <c r="H194" s="27"/>
      <c r="I194" s="27"/>
      <c r="J194" s="28"/>
      <c r="K194" s="27"/>
      <c r="L194" s="28"/>
      <c r="M194" s="28"/>
    </row>
    <row r="195" spans="1:13">
      <c r="A195" s="27"/>
      <c r="B195" s="28"/>
      <c r="C195" s="28"/>
      <c r="D195" s="27"/>
      <c r="E195" s="27"/>
      <c r="F195" s="27"/>
      <c r="G195" s="27"/>
      <c r="H195" s="27"/>
      <c r="I195" s="27"/>
      <c r="J195" s="28"/>
      <c r="K195" s="27"/>
      <c r="L195" s="28"/>
      <c r="M195" s="28"/>
    </row>
    <row r="196" spans="1:13">
      <c r="A196" s="27"/>
      <c r="B196" s="28"/>
      <c r="C196" s="28"/>
      <c r="D196" s="27"/>
      <c r="E196" s="27"/>
      <c r="F196" s="27"/>
      <c r="G196" s="27"/>
      <c r="H196" s="27"/>
      <c r="I196" s="27"/>
      <c r="J196" s="28"/>
      <c r="K196" s="27"/>
      <c r="L196" s="28"/>
      <c r="M196" s="28"/>
    </row>
    <row r="197" spans="1:13">
      <c r="A197" s="27"/>
      <c r="B197" s="28"/>
      <c r="C197" s="28"/>
      <c r="D197" s="27"/>
      <c r="E197" s="27"/>
      <c r="F197" s="27"/>
      <c r="G197" s="27"/>
      <c r="H197" s="27"/>
      <c r="I197" s="27"/>
      <c r="J197" s="28"/>
      <c r="K197" s="27"/>
      <c r="L197" s="28"/>
      <c r="M197" s="28"/>
    </row>
    <row r="198" spans="1:13">
      <c r="A198" s="27"/>
      <c r="B198" s="28"/>
      <c r="C198" s="28"/>
      <c r="D198" s="27"/>
      <c r="E198" s="27"/>
      <c r="F198" s="27"/>
      <c r="G198" s="27"/>
      <c r="H198" s="27"/>
      <c r="I198" s="27"/>
      <c r="J198" s="28"/>
      <c r="K198" s="27"/>
      <c r="L198" s="28"/>
      <c r="M198" s="28"/>
    </row>
    <row r="199" spans="1:13">
      <c r="A199" s="27"/>
      <c r="B199" s="28"/>
      <c r="C199" s="28"/>
      <c r="D199" s="27"/>
      <c r="E199" s="27"/>
      <c r="F199" s="27"/>
      <c r="G199" s="27"/>
      <c r="H199" s="27"/>
      <c r="I199" s="27"/>
      <c r="J199" s="28"/>
      <c r="K199" s="27"/>
      <c r="L199" s="28"/>
      <c r="M199" s="28"/>
    </row>
    <row r="200" spans="1:13">
      <c r="A200" s="27"/>
      <c r="B200" s="28"/>
      <c r="C200" s="28"/>
      <c r="D200" s="27"/>
      <c r="E200" s="27"/>
      <c r="F200" s="27"/>
      <c r="G200" s="27"/>
      <c r="H200" s="27"/>
      <c r="I200" s="27"/>
      <c r="J200" s="28"/>
      <c r="K200" s="27"/>
      <c r="L200" s="28"/>
      <c r="M200" s="28"/>
    </row>
    <row r="201" spans="1:13">
      <c r="A201" s="27"/>
      <c r="B201" s="28"/>
      <c r="C201" s="28"/>
      <c r="D201" s="27"/>
      <c r="E201" s="27"/>
      <c r="F201" s="27"/>
      <c r="G201" s="27"/>
      <c r="H201" s="27"/>
      <c r="I201" s="27"/>
      <c r="J201" s="28"/>
      <c r="K201" s="27"/>
      <c r="L201" s="28"/>
      <c r="M201" s="28"/>
    </row>
    <row r="202" spans="1:13">
      <c r="A202" s="27"/>
      <c r="B202" s="28"/>
      <c r="C202" s="28"/>
      <c r="D202" s="27"/>
      <c r="E202" s="27"/>
      <c r="F202" s="27"/>
      <c r="G202" s="27"/>
      <c r="H202" s="27"/>
      <c r="I202" s="27"/>
      <c r="J202" s="28"/>
      <c r="K202" s="27"/>
      <c r="L202" s="28"/>
      <c r="M202" s="28"/>
    </row>
    <row r="203" spans="1:13">
      <c r="A203" s="27"/>
      <c r="B203" s="28"/>
      <c r="C203" s="28"/>
      <c r="D203" s="27"/>
      <c r="E203" s="27"/>
      <c r="F203" s="27"/>
      <c r="G203" s="27"/>
      <c r="H203" s="27"/>
      <c r="I203" s="27"/>
      <c r="J203" s="28"/>
      <c r="K203" s="27"/>
      <c r="L203" s="28"/>
      <c r="M203" s="28"/>
    </row>
    <row r="204" spans="1:13">
      <c r="A204" s="27"/>
      <c r="B204" s="28"/>
      <c r="C204" s="28"/>
      <c r="D204" s="27"/>
      <c r="E204" s="27"/>
      <c r="F204" s="27"/>
      <c r="G204" s="27"/>
      <c r="H204" s="27"/>
      <c r="I204" s="27"/>
      <c r="J204" s="28"/>
      <c r="K204" s="27"/>
      <c r="L204" s="28"/>
      <c r="M204" s="28"/>
    </row>
    <row r="205" spans="1:13">
      <c r="A205" s="27"/>
      <c r="B205" s="28"/>
      <c r="C205" s="28"/>
      <c r="D205" s="27"/>
      <c r="E205" s="27"/>
      <c r="F205" s="27"/>
      <c r="G205" s="27"/>
      <c r="H205" s="27"/>
      <c r="I205" s="27"/>
      <c r="J205" s="28"/>
      <c r="K205" s="27"/>
      <c r="L205" s="28"/>
      <c r="M205" s="28"/>
    </row>
    <row r="206" spans="1:13">
      <c r="A206" s="27"/>
      <c r="B206" s="28"/>
      <c r="C206" s="28"/>
      <c r="D206" s="27"/>
      <c r="E206" s="27"/>
      <c r="F206" s="27"/>
      <c r="G206" s="27"/>
      <c r="H206" s="27"/>
      <c r="I206" s="27"/>
      <c r="J206" s="28"/>
      <c r="K206" s="27"/>
      <c r="L206" s="28"/>
      <c r="M206" s="28"/>
    </row>
    <row r="207" spans="1:13">
      <c r="A207" s="27"/>
      <c r="B207" s="28"/>
      <c r="C207" s="28"/>
      <c r="D207" s="27"/>
      <c r="E207" s="27"/>
      <c r="F207" s="27"/>
      <c r="G207" s="27"/>
      <c r="H207" s="27"/>
      <c r="I207" s="27"/>
      <c r="J207" s="28"/>
      <c r="K207" s="27"/>
      <c r="L207" s="28"/>
      <c r="M207" s="28"/>
    </row>
    <row r="208" spans="1:13">
      <c r="A208" s="27"/>
      <c r="B208" s="28"/>
      <c r="C208" s="28"/>
      <c r="D208" s="27"/>
      <c r="E208" s="27"/>
      <c r="F208" s="27"/>
      <c r="G208" s="27"/>
      <c r="H208" s="27"/>
      <c r="I208" s="27"/>
      <c r="J208" s="28"/>
      <c r="K208" s="27"/>
      <c r="L208" s="28"/>
      <c r="M208" s="28"/>
    </row>
    <row r="209" spans="1:13">
      <c r="A209" s="27"/>
      <c r="B209" s="28"/>
      <c r="C209" s="28"/>
      <c r="D209" s="27"/>
      <c r="E209" s="27"/>
      <c r="F209" s="27"/>
      <c r="G209" s="27"/>
      <c r="H209" s="27"/>
      <c r="I209" s="27"/>
      <c r="J209" s="28"/>
      <c r="K209" s="27"/>
      <c r="L209" s="28"/>
      <c r="M209" s="28"/>
    </row>
    <row r="210" spans="1:13">
      <c r="A210" s="27"/>
      <c r="B210" s="28"/>
      <c r="C210" s="28"/>
      <c r="D210" s="27"/>
      <c r="E210" s="27"/>
      <c r="F210" s="27"/>
      <c r="G210" s="27"/>
      <c r="H210" s="27"/>
      <c r="I210" s="27"/>
      <c r="J210" s="28"/>
      <c r="K210" s="27"/>
      <c r="L210" s="28"/>
      <c r="M210" s="28"/>
    </row>
    <row r="211" spans="1:13">
      <c r="A211" s="27"/>
      <c r="B211" s="28"/>
      <c r="C211" s="28"/>
      <c r="D211" s="27"/>
      <c r="E211" s="27"/>
      <c r="F211" s="27"/>
      <c r="G211" s="27"/>
      <c r="H211" s="27"/>
      <c r="I211" s="27"/>
      <c r="J211" s="28"/>
      <c r="K211" s="27"/>
      <c r="L211" s="28"/>
      <c r="M211" s="28"/>
    </row>
    <row r="212" spans="1:13">
      <c r="A212" s="27"/>
      <c r="B212" s="28"/>
      <c r="C212" s="28"/>
      <c r="D212" s="27"/>
      <c r="E212" s="27"/>
      <c r="F212" s="27"/>
      <c r="G212" s="27"/>
      <c r="H212" s="27"/>
      <c r="I212" s="27"/>
      <c r="J212" s="28"/>
      <c r="K212" s="27"/>
      <c r="L212" s="28"/>
      <c r="M212" s="28"/>
    </row>
    <row r="213" spans="1:13">
      <c r="A213" s="27"/>
      <c r="B213" s="28"/>
      <c r="C213" s="28"/>
      <c r="D213" s="27"/>
      <c r="E213" s="27"/>
      <c r="F213" s="27"/>
      <c r="G213" s="27"/>
      <c r="H213" s="27"/>
      <c r="I213" s="27"/>
      <c r="J213" s="28"/>
      <c r="K213" s="27"/>
      <c r="L213" s="28"/>
      <c r="M213" s="28"/>
    </row>
    <row r="214" spans="1:13">
      <c r="A214" s="27"/>
      <c r="B214" s="28"/>
      <c r="C214" s="28"/>
      <c r="D214" s="27"/>
      <c r="E214" s="27"/>
      <c r="F214" s="27"/>
      <c r="G214" s="27"/>
      <c r="H214" s="27"/>
      <c r="I214" s="27"/>
      <c r="J214" s="28"/>
      <c r="K214" s="27"/>
      <c r="L214" s="28"/>
      <c r="M214" s="28"/>
    </row>
    <row r="215" spans="1:13">
      <c r="A215" s="27"/>
      <c r="B215" s="28"/>
      <c r="C215" s="28"/>
      <c r="D215" s="27"/>
      <c r="E215" s="27"/>
      <c r="F215" s="27"/>
      <c r="G215" s="27"/>
      <c r="H215" s="27"/>
      <c r="I215" s="27"/>
      <c r="J215" s="28"/>
      <c r="K215" s="27"/>
      <c r="L215" s="28"/>
      <c r="M215" s="28"/>
    </row>
    <row r="216" spans="1:13">
      <c r="A216" s="27"/>
      <c r="B216" s="28"/>
      <c r="C216" s="28"/>
      <c r="D216" s="27"/>
      <c r="E216" s="27"/>
      <c r="F216" s="27"/>
      <c r="G216" s="27"/>
      <c r="H216" s="27"/>
      <c r="I216" s="27"/>
      <c r="J216" s="28"/>
      <c r="K216" s="27"/>
      <c r="L216" s="28"/>
      <c r="M216" s="28"/>
    </row>
    <row r="217" spans="1:13">
      <c r="A217" s="27"/>
      <c r="B217" s="28"/>
      <c r="C217" s="28"/>
      <c r="D217" s="27"/>
      <c r="E217" s="27"/>
      <c r="F217" s="27"/>
      <c r="G217" s="27"/>
      <c r="H217" s="27"/>
      <c r="I217" s="27"/>
      <c r="J217" s="28"/>
      <c r="K217" s="27"/>
      <c r="L217" s="28"/>
      <c r="M217" s="28"/>
    </row>
    <row r="218" spans="1:13">
      <c r="A218" s="27"/>
      <c r="B218" s="28"/>
      <c r="C218" s="28"/>
      <c r="D218" s="27"/>
      <c r="E218" s="27"/>
      <c r="F218" s="27"/>
      <c r="G218" s="27"/>
      <c r="H218" s="27"/>
      <c r="I218" s="27"/>
      <c r="J218" s="28"/>
      <c r="K218" s="27"/>
      <c r="L218" s="28"/>
      <c r="M218" s="28"/>
    </row>
    <row r="219" spans="1:13">
      <c r="A219" s="27"/>
      <c r="B219" s="28"/>
      <c r="C219" s="28"/>
      <c r="D219" s="27"/>
      <c r="E219" s="27"/>
      <c r="F219" s="27"/>
      <c r="G219" s="27"/>
      <c r="H219" s="27"/>
      <c r="I219" s="27"/>
      <c r="J219" s="28"/>
      <c r="K219" s="27"/>
      <c r="L219" s="28"/>
      <c r="M219" s="28"/>
    </row>
    <row r="220" spans="1:13">
      <c r="A220" s="27"/>
      <c r="B220" s="28"/>
      <c r="C220" s="28"/>
      <c r="D220" s="27"/>
      <c r="E220" s="27"/>
      <c r="F220" s="27"/>
      <c r="G220" s="27"/>
      <c r="H220" s="27"/>
      <c r="I220" s="27"/>
      <c r="J220" s="28"/>
      <c r="K220" s="27"/>
      <c r="L220" s="28"/>
      <c r="M220" s="28"/>
    </row>
    <row r="221" spans="1:13">
      <c r="A221" s="27"/>
      <c r="B221" s="28"/>
      <c r="C221" s="28"/>
      <c r="D221" s="27"/>
      <c r="E221" s="27"/>
      <c r="F221" s="27"/>
      <c r="G221" s="27"/>
      <c r="H221" s="27"/>
      <c r="I221" s="27"/>
      <c r="J221" s="28"/>
      <c r="K221" s="27"/>
      <c r="L221" s="28"/>
      <c r="M221" s="28"/>
    </row>
    <row r="222" spans="1:13">
      <c r="A222" s="27"/>
      <c r="B222" s="28"/>
      <c r="C222" s="28"/>
      <c r="D222" s="27"/>
      <c r="E222" s="27"/>
      <c r="F222" s="27"/>
      <c r="G222" s="27"/>
      <c r="H222" s="27"/>
      <c r="I222" s="27"/>
      <c r="J222" s="28"/>
      <c r="K222" s="27"/>
      <c r="L222" s="28"/>
      <c r="M222" s="28"/>
    </row>
    <row r="223" spans="1:13">
      <c r="A223" s="27"/>
      <c r="B223" s="28"/>
      <c r="C223" s="28"/>
      <c r="D223" s="27"/>
      <c r="E223" s="27"/>
      <c r="F223" s="27"/>
      <c r="G223" s="27"/>
      <c r="H223" s="27"/>
      <c r="I223" s="27"/>
      <c r="J223" s="28"/>
      <c r="K223" s="27"/>
      <c r="L223" s="28"/>
      <c r="M223" s="28"/>
    </row>
    <row r="224" spans="1:13">
      <c r="A224" s="27"/>
      <c r="B224" s="28"/>
      <c r="C224" s="28"/>
      <c r="D224" s="27"/>
      <c r="E224" s="27"/>
      <c r="F224" s="27"/>
      <c r="G224" s="27"/>
      <c r="H224" s="27"/>
      <c r="I224" s="27"/>
      <c r="J224" s="28"/>
      <c r="K224" s="27"/>
      <c r="L224" s="28"/>
      <c r="M224" s="28"/>
    </row>
    <row r="225" spans="1:13">
      <c r="A225" s="27"/>
      <c r="B225" s="28"/>
      <c r="C225" s="28"/>
      <c r="D225" s="27"/>
      <c r="E225" s="27"/>
      <c r="F225" s="27"/>
      <c r="G225" s="27"/>
      <c r="H225" s="27"/>
      <c r="I225" s="27"/>
      <c r="J225" s="28"/>
      <c r="K225" s="27"/>
      <c r="L225" s="28"/>
      <c r="M225" s="28"/>
    </row>
    <row r="226" spans="1:13">
      <c r="A226" s="27"/>
      <c r="B226" s="28"/>
      <c r="C226" s="28"/>
      <c r="D226" s="27"/>
      <c r="E226" s="27"/>
      <c r="F226" s="27"/>
      <c r="G226" s="27"/>
      <c r="H226" s="27"/>
      <c r="I226" s="27"/>
      <c r="J226" s="28"/>
      <c r="K226" s="27"/>
      <c r="L226" s="28"/>
      <c r="M226" s="28"/>
    </row>
    <row r="227" spans="1:13">
      <c r="A227" s="27"/>
      <c r="B227" s="28"/>
      <c r="C227" s="28"/>
      <c r="D227" s="27"/>
      <c r="E227" s="27"/>
      <c r="F227" s="27"/>
      <c r="G227" s="27"/>
      <c r="H227" s="27"/>
      <c r="I227" s="27"/>
      <c r="J227" s="28"/>
      <c r="K227" s="27"/>
      <c r="L227" s="28"/>
      <c r="M227" s="28"/>
    </row>
    <row r="228" spans="1:13">
      <c r="A228" s="27"/>
      <c r="B228" s="28"/>
      <c r="C228" s="28"/>
      <c r="D228" s="27"/>
      <c r="E228" s="27"/>
      <c r="F228" s="27"/>
      <c r="G228" s="27"/>
      <c r="H228" s="27"/>
      <c r="I228" s="27"/>
      <c r="J228" s="28"/>
      <c r="K228" s="27"/>
      <c r="L228" s="28"/>
      <c r="M228" s="28"/>
    </row>
    <row r="229" spans="1:13">
      <c r="A229" s="27"/>
      <c r="B229" s="28"/>
      <c r="C229" s="28"/>
      <c r="D229" s="27"/>
      <c r="E229" s="27"/>
      <c r="F229" s="27"/>
      <c r="G229" s="27"/>
      <c r="H229" s="27"/>
      <c r="I229" s="27"/>
      <c r="J229" s="28"/>
      <c r="K229" s="27"/>
      <c r="L229" s="28"/>
      <c r="M229" s="28"/>
    </row>
    <row r="230" spans="1:13">
      <c r="A230" s="27"/>
      <c r="B230" s="28"/>
      <c r="C230" s="28"/>
      <c r="D230" s="27"/>
      <c r="E230" s="27"/>
      <c r="F230" s="27"/>
      <c r="G230" s="27"/>
      <c r="H230" s="27"/>
      <c r="I230" s="27"/>
      <c r="J230" s="28"/>
      <c r="K230" s="27"/>
      <c r="L230" s="28"/>
      <c r="M230" s="28"/>
    </row>
    <row r="231" spans="1:13">
      <c r="A231" s="27"/>
      <c r="B231" s="28"/>
      <c r="C231" s="28"/>
      <c r="D231" s="27"/>
      <c r="E231" s="27"/>
      <c r="F231" s="27"/>
      <c r="G231" s="27"/>
      <c r="H231" s="27"/>
      <c r="I231" s="27"/>
      <c r="J231" s="28"/>
      <c r="K231" s="27"/>
      <c r="L231" s="28"/>
      <c r="M231" s="28"/>
    </row>
    <row r="232" spans="1:13">
      <c r="A232" s="27"/>
      <c r="B232" s="28"/>
      <c r="C232" s="28"/>
      <c r="D232" s="27"/>
      <c r="E232" s="27"/>
      <c r="F232" s="27"/>
      <c r="G232" s="27"/>
      <c r="H232" s="27"/>
      <c r="I232" s="27"/>
      <c r="J232" s="28"/>
      <c r="K232" s="27"/>
      <c r="L232" s="28"/>
      <c r="M232" s="28"/>
    </row>
    <row r="233" spans="1:13">
      <c r="A233" s="27"/>
      <c r="B233" s="28"/>
      <c r="C233" s="28"/>
      <c r="D233" s="27"/>
      <c r="E233" s="27"/>
      <c r="F233" s="27"/>
      <c r="G233" s="27"/>
      <c r="H233" s="27"/>
      <c r="I233" s="27"/>
      <c r="J233" s="28"/>
      <c r="K233" s="27"/>
      <c r="L233" s="28"/>
      <c r="M233" s="28"/>
    </row>
    <row r="234" spans="1:13">
      <c r="A234" s="27"/>
      <c r="B234" s="28"/>
      <c r="C234" s="28"/>
      <c r="D234" s="27"/>
      <c r="E234" s="27"/>
      <c r="F234" s="27"/>
      <c r="G234" s="27"/>
      <c r="H234" s="27"/>
      <c r="I234" s="27"/>
      <c r="J234" s="28"/>
      <c r="K234" s="27"/>
      <c r="L234" s="28"/>
      <c r="M234" s="28"/>
    </row>
    <row r="235" spans="1:13">
      <c r="A235" s="27"/>
      <c r="B235" s="28"/>
      <c r="C235" s="28"/>
      <c r="D235" s="27"/>
      <c r="E235" s="27"/>
      <c r="F235" s="27"/>
      <c r="G235" s="27"/>
      <c r="H235" s="27"/>
      <c r="I235" s="27"/>
      <c r="J235" s="28"/>
      <c r="K235" s="27"/>
      <c r="L235" s="28"/>
      <c r="M235" s="28"/>
    </row>
    <row r="236" spans="1:13">
      <c r="A236" s="27"/>
      <c r="B236" s="28"/>
      <c r="C236" s="28"/>
      <c r="D236" s="27"/>
      <c r="E236" s="27"/>
      <c r="F236" s="27"/>
      <c r="G236" s="27"/>
      <c r="H236" s="27"/>
      <c r="I236" s="27"/>
      <c r="J236" s="28"/>
      <c r="K236" s="27"/>
      <c r="L236" s="28"/>
      <c r="M236" s="28"/>
    </row>
    <row r="237" spans="1:13">
      <c r="A237" s="27"/>
      <c r="B237" s="28"/>
      <c r="C237" s="28"/>
      <c r="D237" s="27"/>
      <c r="E237" s="27"/>
      <c r="F237" s="27"/>
      <c r="G237" s="27"/>
      <c r="H237" s="27"/>
      <c r="I237" s="27"/>
      <c r="J237" s="28"/>
      <c r="K237" s="27"/>
      <c r="L237" s="28"/>
      <c r="M237" s="28"/>
    </row>
    <row r="238" spans="1:13">
      <c r="A238" s="27"/>
      <c r="B238" s="28"/>
      <c r="C238" s="28"/>
      <c r="D238" s="27"/>
      <c r="E238" s="27"/>
      <c r="F238" s="27"/>
      <c r="G238" s="27"/>
      <c r="H238" s="27"/>
      <c r="I238" s="27"/>
      <c r="J238" s="28"/>
      <c r="K238" s="27"/>
      <c r="L238" s="28"/>
      <c r="M238" s="28"/>
    </row>
    <row r="239" spans="1:13">
      <c r="A239" s="27"/>
      <c r="B239" s="28"/>
      <c r="C239" s="28"/>
      <c r="D239" s="27"/>
      <c r="E239" s="27"/>
      <c r="F239" s="27"/>
      <c r="G239" s="27"/>
      <c r="H239" s="27"/>
      <c r="I239" s="27"/>
      <c r="J239" s="28"/>
      <c r="K239" s="27"/>
      <c r="L239" s="28"/>
      <c r="M239" s="28"/>
    </row>
    <row r="240" spans="1:13">
      <c r="A240" s="27"/>
      <c r="B240" s="28"/>
      <c r="C240" s="28"/>
      <c r="D240" s="27"/>
      <c r="E240" s="27"/>
      <c r="F240" s="27"/>
      <c r="G240" s="27"/>
      <c r="H240" s="27"/>
      <c r="I240" s="27"/>
      <c r="J240" s="28"/>
      <c r="K240" s="27"/>
      <c r="L240" s="28"/>
      <c r="M240" s="28"/>
    </row>
    <row r="241" spans="1:13">
      <c r="A241" s="27"/>
      <c r="B241" s="28"/>
      <c r="C241" s="28"/>
      <c r="D241" s="27"/>
      <c r="E241" s="27"/>
      <c r="F241" s="27"/>
      <c r="G241" s="27"/>
      <c r="H241" s="27"/>
      <c r="I241" s="27"/>
      <c r="J241" s="28"/>
      <c r="K241" s="27"/>
      <c r="L241" s="28"/>
      <c r="M241" s="28"/>
    </row>
    <row r="242" spans="1:13">
      <c r="A242" s="27"/>
      <c r="B242" s="28"/>
      <c r="C242" s="28"/>
      <c r="D242" s="27"/>
      <c r="E242" s="27"/>
      <c r="F242" s="27"/>
      <c r="G242" s="27"/>
      <c r="H242" s="27"/>
      <c r="I242" s="27"/>
      <c r="J242" s="28"/>
      <c r="K242" s="27"/>
      <c r="L242" s="28"/>
      <c r="M242" s="28"/>
    </row>
    <row r="243" spans="1:13">
      <c r="A243" s="27"/>
      <c r="B243" s="28"/>
      <c r="C243" s="28"/>
      <c r="D243" s="27"/>
      <c r="E243" s="27"/>
      <c r="F243" s="27"/>
      <c r="G243" s="27"/>
      <c r="H243" s="27"/>
      <c r="I243" s="27"/>
      <c r="J243" s="28"/>
      <c r="K243" s="27"/>
      <c r="L243" s="28"/>
      <c r="M243" s="28"/>
    </row>
    <row r="244" spans="1:13">
      <c r="A244" s="27"/>
      <c r="B244" s="28"/>
      <c r="C244" s="28"/>
      <c r="D244" s="27"/>
      <c r="E244" s="27"/>
      <c r="F244" s="27"/>
      <c r="G244" s="27"/>
      <c r="H244" s="27"/>
      <c r="I244" s="27"/>
      <c r="J244" s="28"/>
      <c r="K244" s="27"/>
      <c r="L244" s="28"/>
      <c r="M244" s="28"/>
    </row>
    <row r="245" spans="1:13">
      <c r="A245" s="27"/>
      <c r="B245" s="28"/>
      <c r="C245" s="28"/>
      <c r="D245" s="27"/>
      <c r="E245" s="27"/>
      <c r="F245" s="27"/>
      <c r="G245" s="27"/>
      <c r="H245" s="27"/>
      <c r="I245" s="27"/>
      <c r="J245" s="28"/>
      <c r="K245" s="27"/>
      <c r="L245" s="28"/>
      <c r="M245" s="28"/>
    </row>
    <row r="246" spans="1:13">
      <c r="A246" s="27"/>
      <c r="B246" s="28"/>
      <c r="C246" s="28"/>
      <c r="D246" s="27"/>
      <c r="E246" s="27"/>
      <c r="F246" s="27"/>
      <c r="G246" s="27"/>
      <c r="H246" s="27"/>
      <c r="I246" s="27"/>
      <c r="J246" s="28"/>
      <c r="K246" s="27"/>
      <c r="L246" s="28"/>
      <c r="M246" s="28"/>
    </row>
    <row r="247" spans="1:13">
      <c r="A247" s="27"/>
      <c r="B247" s="28"/>
      <c r="C247" s="28"/>
      <c r="D247" s="27"/>
      <c r="E247" s="27"/>
      <c r="F247" s="27"/>
      <c r="G247" s="27"/>
      <c r="H247" s="27"/>
      <c r="I247" s="27"/>
      <c r="J247" s="28"/>
      <c r="K247" s="27"/>
      <c r="L247" s="28"/>
      <c r="M247" s="28"/>
    </row>
    <row r="248" spans="1:13">
      <c r="A248" s="27"/>
      <c r="B248" s="28"/>
      <c r="C248" s="28"/>
      <c r="D248" s="27"/>
      <c r="E248" s="27"/>
      <c r="F248" s="27"/>
      <c r="G248" s="27"/>
      <c r="H248" s="27"/>
      <c r="I248" s="27"/>
      <c r="J248" s="28"/>
      <c r="K248" s="27"/>
      <c r="L248" s="28"/>
      <c r="M248" s="28"/>
    </row>
    <row r="249" spans="1:13">
      <c r="A249" s="27"/>
      <c r="B249" s="28"/>
      <c r="C249" s="28"/>
      <c r="D249" s="27"/>
      <c r="E249" s="27"/>
      <c r="F249" s="27"/>
      <c r="G249" s="27"/>
      <c r="H249" s="27"/>
      <c r="I249" s="27"/>
      <c r="J249" s="28"/>
      <c r="K249" s="27"/>
      <c r="L249" s="28"/>
      <c r="M249" s="28"/>
    </row>
    <row r="250" spans="1:13">
      <c r="A250" s="27"/>
      <c r="B250" s="28"/>
      <c r="C250" s="28"/>
      <c r="D250" s="27"/>
      <c r="E250" s="27"/>
      <c r="F250" s="27"/>
      <c r="G250" s="27"/>
      <c r="H250" s="27"/>
      <c r="I250" s="27"/>
      <c r="J250" s="28"/>
      <c r="K250" s="27"/>
      <c r="L250" s="28"/>
      <c r="M250" s="28"/>
    </row>
    <row r="251" spans="1:13">
      <c r="A251" s="27"/>
      <c r="B251" s="28"/>
      <c r="C251" s="28"/>
      <c r="D251" s="27"/>
      <c r="E251" s="27"/>
      <c r="F251" s="27"/>
      <c r="G251" s="27"/>
      <c r="H251" s="27"/>
      <c r="I251" s="27"/>
      <c r="J251" s="28"/>
      <c r="K251" s="27"/>
      <c r="L251" s="28"/>
      <c r="M251" s="28"/>
    </row>
    <row r="252" spans="1:13">
      <c r="A252" s="27"/>
      <c r="B252" s="28"/>
      <c r="C252" s="28"/>
      <c r="D252" s="27"/>
      <c r="E252" s="27"/>
      <c r="F252" s="27"/>
      <c r="G252" s="27"/>
      <c r="H252" s="27"/>
      <c r="I252" s="27"/>
      <c r="J252" s="28"/>
      <c r="K252" s="27"/>
      <c r="L252" s="28"/>
      <c r="M252" s="28"/>
    </row>
    <row r="253" spans="1:13">
      <c r="A253" s="27"/>
      <c r="B253" s="28"/>
      <c r="C253" s="28"/>
      <c r="D253" s="27"/>
      <c r="E253" s="27"/>
      <c r="F253" s="27"/>
      <c r="G253" s="27"/>
      <c r="H253" s="27"/>
      <c r="I253" s="27"/>
      <c r="J253" s="28"/>
      <c r="K253" s="27"/>
      <c r="L253" s="28"/>
      <c r="M253" s="28"/>
    </row>
    <row r="254" spans="1:13">
      <c r="A254" s="27"/>
      <c r="B254" s="28"/>
      <c r="C254" s="28"/>
      <c r="D254" s="27"/>
      <c r="E254" s="27"/>
      <c r="F254" s="27"/>
      <c r="G254" s="27"/>
      <c r="H254" s="27"/>
      <c r="I254" s="27"/>
      <c r="J254" s="28"/>
      <c r="K254" s="27"/>
      <c r="L254" s="28"/>
      <c r="M254" s="28"/>
    </row>
    <row r="255" spans="1:13">
      <c r="A255" s="27"/>
      <c r="B255" s="28"/>
      <c r="C255" s="28"/>
      <c r="D255" s="27"/>
      <c r="E255" s="27"/>
      <c r="F255" s="27"/>
      <c r="G255" s="27"/>
      <c r="H255" s="27"/>
      <c r="I255" s="27"/>
      <c r="J255" s="28"/>
      <c r="K255" s="27"/>
      <c r="L255" s="28"/>
      <c r="M255" s="28"/>
    </row>
    <row r="256" spans="1:13">
      <c r="A256" s="27"/>
      <c r="B256" s="28"/>
      <c r="C256" s="28"/>
      <c r="D256" s="27"/>
      <c r="E256" s="27"/>
      <c r="F256" s="27"/>
      <c r="G256" s="27"/>
      <c r="H256" s="27"/>
      <c r="I256" s="27"/>
      <c r="J256" s="28"/>
      <c r="K256" s="27"/>
      <c r="L256" s="28"/>
      <c r="M256" s="28"/>
    </row>
    <row r="257" spans="1:13">
      <c r="A257" s="27"/>
      <c r="B257" s="28"/>
      <c r="C257" s="28"/>
      <c r="D257" s="27"/>
      <c r="E257" s="27"/>
      <c r="F257" s="27"/>
      <c r="G257" s="27"/>
      <c r="H257" s="27"/>
      <c r="I257" s="27"/>
      <c r="J257" s="28"/>
      <c r="K257" s="27"/>
      <c r="L257" s="28"/>
      <c r="M257" s="28"/>
    </row>
    <row r="258" spans="1:13">
      <c r="A258" s="27"/>
      <c r="B258" s="28"/>
      <c r="C258" s="28"/>
      <c r="D258" s="27"/>
      <c r="E258" s="27"/>
      <c r="F258" s="27"/>
      <c r="G258" s="27"/>
      <c r="H258" s="27"/>
      <c r="I258" s="27"/>
      <c r="J258" s="28"/>
      <c r="K258" s="27"/>
      <c r="L258" s="28"/>
      <c r="M258" s="28"/>
    </row>
    <row r="259" spans="1:13">
      <c r="A259" s="27"/>
      <c r="B259" s="28"/>
      <c r="C259" s="28"/>
      <c r="D259" s="27"/>
      <c r="E259" s="27"/>
      <c r="F259" s="27"/>
      <c r="G259" s="27"/>
      <c r="H259" s="27"/>
      <c r="I259" s="27"/>
      <c r="J259" s="28"/>
      <c r="K259" s="27"/>
      <c r="L259" s="28"/>
      <c r="M259" s="28"/>
    </row>
    <row r="260" spans="1:13">
      <c r="A260" s="27"/>
      <c r="B260" s="28"/>
      <c r="C260" s="28"/>
      <c r="D260" s="27"/>
      <c r="E260" s="27"/>
      <c r="F260" s="27"/>
      <c r="G260" s="27"/>
      <c r="H260" s="27"/>
      <c r="I260" s="27"/>
      <c r="J260" s="28"/>
      <c r="K260" s="27"/>
      <c r="L260" s="28"/>
      <c r="M260" s="28"/>
    </row>
    <row r="261" spans="1:13">
      <c r="A261" s="27"/>
      <c r="B261" s="28"/>
      <c r="C261" s="28"/>
      <c r="D261" s="27"/>
      <c r="E261" s="27"/>
      <c r="F261" s="27"/>
      <c r="G261" s="27"/>
      <c r="H261" s="27"/>
      <c r="I261" s="27"/>
      <c r="J261" s="28"/>
      <c r="K261" s="27"/>
      <c r="L261" s="28"/>
      <c r="M261" s="28"/>
    </row>
    <row r="262" spans="1:13">
      <c r="A262" s="27"/>
      <c r="B262" s="28"/>
      <c r="C262" s="28"/>
      <c r="D262" s="27"/>
      <c r="E262" s="27"/>
      <c r="F262" s="27"/>
      <c r="G262" s="27"/>
      <c r="H262" s="27"/>
      <c r="I262" s="27"/>
      <c r="J262" s="28"/>
      <c r="K262" s="27"/>
      <c r="L262" s="28"/>
      <c r="M262" s="28"/>
    </row>
    <row r="263" spans="1:13">
      <c r="A263" s="27"/>
      <c r="B263" s="28"/>
      <c r="C263" s="28"/>
      <c r="D263" s="27"/>
      <c r="E263" s="27"/>
      <c r="F263" s="27"/>
      <c r="G263" s="27"/>
      <c r="H263" s="27"/>
      <c r="I263" s="27"/>
      <c r="J263" s="28"/>
      <c r="K263" s="27"/>
      <c r="L263" s="28"/>
      <c r="M263" s="28"/>
    </row>
    <row r="264" spans="1:13">
      <c r="A264" s="27"/>
      <c r="B264" s="28"/>
      <c r="C264" s="28"/>
      <c r="D264" s="27"/>
      <c r="E264" s="27"/>
      <c r="F264" s="27"/>
      <c r="G264" s="27"/>
      <c r="H264" s="27"/>
      <c r="I264" s="27"/>
      <c r="J264" s="28"/>
      <c r="K264" s="27"/>
      <c r="L264" s="28"/>
      <c r="M264" s="28"/>
    </row>
    <row r="265" spans="1:13">
      <c r="A265" s="27"/>
      <c r="B265" s="28"/>
      <c r="C265" s="28"/>
      <c r="D265" s="27"/>
      <c r="E265" s="27"/>
      <c r="F265" s="27"/>
      <c r="G265" s="27"/>
      <c r="H265" s="27"/>
      <c r="I265" s="27"/>
      <c r="J265" s="28"/>
      <c r="K265" s="27"/>
      <c r="L265" s="28"/>
      <c r="M265" s="28"/>
    </row>
    <row r="266" spans="1:13">
      <c r="A266" s="27"/>
      <c r="B266" s="28"/>
      <c r="C266" s="28"/>
      <c r="D266" s="27"/>
      <c r="E266" s="27"/>
      <c r="F266" s="27"/>
      <c r="G266" s="27"/>
      <c r="H266" s="27"/>
      <c r="I266" s="27"/>
      <c r="J266" s="28"/>
      <c r="K266" s="27"/>
      <c r="L266" s="28"/>
      <c r="M266" s="28"/>
    </row>
    <row r="267" spans="1:13">
      <c r="A267" s="27"/>
      <c r="B267" s="28"/>
      <c r="C267" s="28"/>
      <c r="D267" s="27"/>
      <c r="E267" s="27"/>
      <c r="F267" s="27"/>
      <c r="G267" s="27"/>
      <c r="H267" s="27"/>
      <c r="I267" s="27"/>
      <c r="J267" s="28"/>
      <c r="K267" s="27"/>
      <c r="L267" s="28"/>
      <c r="M267" s="28"/>
    </row>
    <row r="268" spans="1:13">
      <c r="A268" s="27"/>
      <c r="B268" s="28"/>
      <c r="C268" s="28"/>
      <c r="D268" s="27"/>
      <c r="E268" s="27"/>
      <c r="F268" s="27"/>
      <c r="G268" s="27"/>
      <c r="H268" s="27"/>
      <c r="I268" s="27"/>
      <c r="J268" s="28"/>
      <c r="K268" s="27"/>
      <c r="L268" s="28"/>
      <c r="M268" s="28"/>
    </row>
    <row r="269" spans="1:13">
      <c r="A269" s="27"/>
      <c r="B269" s="28"/>
      <c r="C269" s="28"/>
      <c r="D269" s="27"/>
      <c r="E269" s="27"/>
      <c r="F269" s="27"/>
      <c r="G269" s="27"/>
      <c r="H269" s="27"/>
      <c r="I269" s="27"/>
      <c r="J269" s="28"/>
      <c r="K269" s="27"/>
      <c r="L269" s="28"/>
      <c r="M269" s="28"/>
    </row>
    <row r="270" spans="1:13">
      <c r="A270" s="27"/>
      <c r="B270" s="28"/>
      <c r="C270" s="28"/>
      <c r="D270" s="27"/>
      <c r="E270" s="27"/>
      <c r="F270" s="27"/>
      <c r="G270" s="27"/>
      <c r="H270" s="27"/>
      <c r="I270" s="27"/>
      <c r="J270" s="28"/>
      <c r="K270" s="27"/>
      <c r="L270" s="28"/>
      <c r="M270" s="28"/>
    </row>
    <row r="271" spans="1:13">
      <c r="A271" s="27"/>
      <c r="B271" s="28"/>
      <c r="C271" s="28"/>
      <c r="D271" s="27"/>
      <c r="E271" s="27"/>
      <c r="F271" s="27"/>
      <c r="G271" s="27"/>
      <c r="H271" s="27"/>
      <c r="I271" s="27"/>
      <c r="J271" s="28"/>
      <c r="K271" s="27"/>
      <c r="L271" s="28"/>
      <c r="M271" s="28"/>
    </row>
    <row r="272" spans="1:13">
      <c r="A272" s="27"/>
      <c r="B272" s="28"/>
      <c r="C272" s="28"/>
      <c r="D272" s="27"/>
      <c r="E272" s="27"/>
      <c r="F272" s="27"/>
      <c r="G272" s="27"/>
      <c r="H272" s="27"/>
      <c r="I272" s="27"/>
      <c r="J272" s="28"/>
      <c r="K272" s="27"/>
      <c r="L272" s="28"/>
      <c r="M272" s="28"/>
    </row>
    <row r="273" spans="1:13">
      <c r="A273" s="27"/>
      <c r="B273" s="28"/>
      <c r="C273" s="28"/>
      <c r="D273" s="27"/>
      <c r="E273" s="27"/>
      <c r="F273" s="27"/>
      <c r="G273" s="27"/>
      <c r="H273" s="27"/>
      <c r="I273" s="27"/>
      <c r="J273" s="28"/>
      <c r="K273" s="27"/>
      <c r="L273" s="28"/>
      <c r="M273" s="28"/>
    </row>
    <row r="274" spans="1:13">
      <c r="A274" s="27"/>
      <c r="B274" s="28"/>
      <c r="C274" s="28"/>
      <c r="D274" s="27"/>
      <c r="E274" s="27"/>
      <c r="F274" s="27"/>
      <c r="G274" s="27"/>
      <c r="H274" s="27"/>
      <c r="I274" s="27"/>
      <c r="J274" s="28"/>
      <c r="K274" s="27"/>
      <c r="L274" s="28"/>
      <c r="M274" s="28"/>
    </row>
    <row r="275" spans="1:13">
      <c r="A275" s="27"/>
      <c r="B275" s="28"/>
      <c r="C275" s="28"/>
      <c r="D275" s="27"/>
      <c r="E275" s="27"/>
      <c r="F275" s="27"/>
      <c r="G275" s="27"/>
      <c r="H275" s="27"/>
      <c r="I275" s="27"/>
      <c r="J275" s="28"/>
      <c r="K275" s="27"/>
      <c r="L275" s="28"/>
      <c r="M275" s="28"/>
    </row>
    <row r="276" spans="1:13">
      <c r="A276" s="27"/>
      <c r="B276" s="28"/>
      <c r="C276" s="28"/>
      <c r="D276" s="27"/>
      <c r="E276" s="27"/>
      <c r="F276" s="27"/>
      <c r="G276" s="27"/>
      <c r="H276" s="27"/>
      <c r="I276" s="27"/>
      <c r="J276" s="28"/>
      <c r="K276" s="27"/>
      <c r="L276" s="28"/>
      <c r="M276" s="28"/>
    </row>
    <row r="277" spans="1:13">
      <c r="A277" s="27"/>
      <c r="B277" s="28"/>
      <c r="C277" s="28"/>
      <c r="D277" s="27"/>
      <c r="E277" s="27"/>
      <c r="F277" s="27"/>
      <c r="G277" s="27"/>
      <c r="H277" s="27"/>
      <c r="I277" s="27"/>
      <c r="J277" s="28"/>
      <c r="K277" s="27"/>
      <c r="L277" s="28"/>
      <c r="M277" s="28"/>
    </row>
    <row r="278" spans="1:13">
      <c r="A278" s="27"/>
      <c r="B278" s="28"/>
      <c r="C278" s="28"/>
      <c r="D278" s="27"/>
      <c r="E278" s="27"/>
      <c r="F278" s="27"/>
      <c r="G278" s="27"/>
      <c r="H278" s="27"/>
      <c r="I278" s="27"/>
      <c r="J278" s="28"/>
      <c r="K278" s="27"/>
      <c r="L278" s="28"/>
      <c r="M278" s="28"/>
    </row>
    <row r="279" spans="1:13">
      <c r="A279" s="27"/>
      <c r="B279" s="28"/>
      <c r="C279" s="28"/>
      <c r="D279" s="27"/>
      <c r="E279" s="27"/>
      <c r="F279" s="27"/>
      <c r="G279" s="27"/>
      <c r="H279" s="27"/>
      <c r="I279" s="27"/>
      <c r="J279" s="28"/>
      <c r="K279" s="27"/>
      <c r="L279" s="28"/>
      <c r="M279" s="28"/>
    </row>
    <row r="280" spans="1:13">
      <c r="A280" s="27"/>
      <c r="B280" s="28"/>
      <c r="C280" s="28"/>
      <c r="D280" s="27"/>
      <c r="E280" s="27"/>
      <c r="F280" s="27"/>
      <c r="G280" s="27"/>
      <c r="H280" s="27"/>
      <c r="I280" s="27"/>
      <c r="J280" s="28"/>
      <c r="K280" s="27"/>
      <c r="L280" s="28"/>
      <c r="M280" s="28"/>
    </row>
    <row r="281" spans="1:13">
      <c r="A281" s="27"/>
      <c r="B281" s="28"/>
      <c r="C281" s="28"/>
      <c r="D281" s="27"/>
      <c r="E281" s="27"/>
      <c r="F281" s="27"/>
      <c r="G281" s="27"/>
      <c r="H281" s="27"/>
      <c r="I281" s="27"/>
      <c r="J281" s="28"/>
      <c r="K281" s="27"/>
      <c r="L281" s="28"/>
      <c r="M281" s="28"/>
    </row>
    <row r="282" spans="1:13">
      <c r="A282" s="27"/>
      <c r="B282" s="28"/>
      <c r="C282" s="28"/>
      <c r="D282" s="27"/>
      <c r="E282" s="27"/>
      <c r="F282" s="27"/>
      <c r="G282" s="27"/>
      <c r="H282" s="27"/>
      <c r="I282" s="27"/>
      <c r="J282" s="28"/>
      <c r="K282" s="27"/>
      <c r="L282" s="28"/>
      <c r="M282" s="28"/>
    </row>
    <row r="283" spans="1:13">
      <c r="A283" s="27"/>
      <c r="B283" s="28"/>
      <c r="C283" s="28"/>
      <c r="D283" s="27"/>
      <c r="E283" s="27"/>
      <c r="F283" s="27"/>
      <c r="G283" s="27"/>
      <c r="H283" s="27"/>
      <c r="I283" s="27"/>
      <c r="J283" s="28"/>
      <c r="K283" s="27"/>
      <c r="L283" s="28"/>
      <c r="M283" s="28"/>
    </row>
    <row r="284" spans="1:13">
      <c r="A284" s="27"/>
      <c r="B284" s="28"/>
      <c r="C284" s="28"/>
      <c r="D284" s="27"/>
      <c r="E284" s="27"/>
      <c r="F284" s="27"/>
      <c r="G284" s="27"/>
      <c r="H284" s="27"/>
      <c r="I284" s="27"/>
      <c r="J284" s="28"/>
      <c r="K284" s="27"/>
      <c r="L284" s="28"/>
      <c r="M284" s="28"/>
    </row>
    <row r="285" spans="1:13">
      <c r="A285" s="27"/>
      <c r="B285" s="28"/>
      <c r="C285" s="28"/>
      <c r="D285" s="27"/>
      <c r="E285" s="27"/>
      <c r="F285" s="27"/>
      <c r="G285" s="27"/>
      <c r="H285" s="27"/>
      <c r="I285" s="27"/>
      <c r="J285" s="28"/>
      <c r="K285" s="27"/>
      <c r="L285" s="28"/>
      <c r="M285" s="28"/>
    </row>
    <row r="286" spans="1:13">
      <c r="A286" s="27"/>
      <c r="B286" s="28"/>
      <c r="C286" s="28"/>
      <c r="D286" s="27"/>
      <c r="E286" s="27"/>
      <c r="F286" s="27"/>
      <c r="G286" s="27"/>
      <c r="H286" s="27"/>
      <c r="I286" s="27"/>
      <c r="J286" s="28"/>
      <c r="K286" s="27"/>
      <c r="L286" s="28"/>
      <c r="M286" s="28"/>
    </row>
    <row r="287" spans="1:13">
      <c r="A287" s="27"/>
      <c r="B287" s="28"/>
      <c r="C287" s="28"/>
      <c r="D287" s="27"/>
      <c r="E287" s="27"/>
      <c r="F287" s="27"/>
      <c r="G287" s="27"/>
      <c r="H287" s="27"/>
      <c r="I287" s="27"/>
      <c r="J287" s="28"/>
      <c r="K287" s="27"/>
      <c r="L287" s="28"/>
      <c r="M287" s="28"/>
    </row>
    <row r="288" spans="1:13">
      <c r="A288" s="27"/>
      <c r="B288" s="28"/>
      <c r="C288" s="28"/>
      <c r="D288" s="27"/>
      <c r="E288" s="27"/>
      <c r="F288" s="27"/>
      <c r="G288" s="27"/>
      <c r="H288" s="27"/>
      <c r="I288" s="27"/>
      <c r="J288" s="28"/>
      <c r="K288" s="27"/>
      <c r="L288" s="28"/>
      <c r="M288" s="28"/>
    </row>
    <row r="289" spans="1:13">
      <c r="A289" s="27"/>
      <c r="B289" s="28"/>
      <c r="C289" s="28"/>
      <c r="D289" s="27"/>
      <c r="E289" s="27"/>
      <c r="F289" s="27"/>
      <c r="G289" s="27"/>
      <c r="H289" s="27"/>
      <c r="I289" s="27"/>
      <c r="J289" s="28"/>
      <c r="K289" s="27"/>
      <c r="L289" s="28"/>
      <c r="M289" s="28"/>
    </row>
    <row r="290" spans="1:13">
      <c r="A290" s="27"/>
      <c r="B290" s="28"/>
      <c r="C290" s="28"/>
      <c r="D290" s="27"/>
      <c r="E290" s="27"/>
      <c r="F290" s="27"/>
      <c r="G290" s="27"/>
      <c r="H290" s="27"/>
      <c r="I290" s="27"/>
      <c r="J290" s="28"/>
      <c r="K290" s="27"/>
      <c r="L290" s="28"/>
      <c r="M290" s="28"/>
    </row>
    <row r="291" spans="1:13">
      <c r="A291" s="27"/>
      <c r="B291" s="28"/>
      <c r="C291" s="28"/>
      <c r="D291" s="27"/>
      <c r="E291" s="27"/>
      <c r="F291" s="27"/>
      <c r="G291" s="27"/>
      <c r="H291" s="27"/>
      <c r="I291" s="27"/>
      <c r="J291" s="28"/>
      <c r="K291" s="27"/>
      <c r="L291" s="28"/>
      <c r="M291" s="28"/>
    </row>
    <row r="292" spans="1:13">
      <c r="A292" s="27"/>
      <c r="B292" s="28"/>
      <c r="C292" s="28"/>
      <c r="D292" s="27"/>
      <c r="E292" s="27"/>
      <c r="F292" s="27"/>
      <c r="G292" s="27"/>
      <c r="H292" s="27"/>
      <c r="I292" s="27"/>
      <c r="J292" s="28"/>
      <c r="K292" s="27"/>
      <c r="L292" s="28"/>
      <c r="M292" s="28"/>
    </row>
    <row r="293" spans="1:13">
      <c r="A293" s="27"/>
      <c r="B293" s="28"/>
      <c r="C293" s="28"/>
      <c r="D293" s="27"/>
      <c r="E293" s="27"/>
      <c r="F293" s="27"/>
      <c r="G293" s="27"/>
      <c r="H293" s="27"/>
      <c r="I293" s="27"/>
      <c r="J293" s="28"/>
      <c r="K293" s="27"/>
      <c r="L293" s="28"/>
      <c r="M293" s="28"/>
    </row>
    <row r="294" spans="1:13">
      <c r="A294" s="27"/>
      <c r="B294" s="28"/>
      <c r="C294" s="28"/>
      <c r="D294" s="27"/>
      <c r="E294" s="27"/>
      <c r="F294" s="27"/>
      <c r="G294" s="27"/>
      <c r="H294" s="27"/>
      <c r="I294" s="27"/>
      <c r="J294" s="28"/>
      <c r="K294" s="27"/>
      <c r="L294" s="28"/>
      <c r="M294" s="28"/>
    </row>
    <row r="295" spans="1:13">
      <c r="A295" s="27"/>
      <c r="B295" s="28"/>
      <c r="C295" s="28"/>
      <c r="D295" s="27"/>
      <c r="E295" s="27"/>
      <c r="F295" s="27"/>
      <c r="G295" s="27"/>
      <c r="H295" s="27"/>
      <c r="I295" s="27"/>
      <c r="J295" s="28"/>
      <c r="K295" s="27"/>
      <c r="L295" s="28"/>
      <c r="M295" s="28"/>
    </row>
    <row r="296" spans="1:13">
      <c r="A296" s="27"/>
      <c r="B296" s="28"/>
      <c r="C296" s="28"/>
      <c r="D296" s="27"/>
      <c r="E296" s="27"/>
      <c r="F296" s="27"/>
      <c r="G296" s="27"/>
      <c r="H296" s="27"/>
      <c r="I296" s="27"/>
      <c r="J296" s="28"/>
      <c r="K296" s="27"/>
      <c r="L296" s="28"/>
      <c r="M296" s="28"/>
    </row>
    <row r="297" spans="1:13">
      <c r="A297" s="27"/>
      <c r="B297" s="28"/>
      <c r="C297" s="28"/>
      <c r="D297" s="27"/>
      <c r="E297" s="27"/>
      <c r="F297" s="27"/>
      <c r="G297" s="27"/>
      <c r="H297" s="27"/>
      <c r="I297" s="27"/>
      <c r="J297" s="28"/>
      <c r="K297" s="27"/>
      <c r="L297" s="28"/>
      <c r="M297" s="28"/>
    </row>
    <row r="298" spans="1:13">
      <c r="A298" s="27"/>
      <c r="B298" s="28"/>
      <c r="C298" s="28"/>
      <c r="D298" s="27"/>
      <c r="E298" s="27"/>
      <c r="F298" s="27"/>
      <c r="G298" s="27"/>
      <c r="H298" s="27"/>
      <c r="I298" s="27"/>
      <c r="J298" s="28"/>
      <c r="K298" s="27"/>
      <c r="L298" s="28"/>
      <c r="M298" s="28"/>
    </row>
    <row r="299" spans="1:13">
      <c r="A299" s="27"/>
      <c r="B299" s="28"/>
      <c r="C299" s="28"/>
      <c r="D299" s="27"/>
      <c r="E299" s="27"/>
      <c r="F299" s="27"/>
      <c r="G299" s="27"/>
      <c r="H299" s="27"/>
      <c r="I299" s="27"/>
      <c r="J299" s="28"/>
      <c r="K299" s="27"/>
      <c r="L299" s="28"/>
      <c r="M299" s="28"/>
    </row>
    <row r="300" spans="1:13">
      <c r="A300" s="27"/>
      <c r="B300" s="28"/>
      <c r="C300" s="28"/>
      <c r="D300" s="27"/>
      <c r="E300" s="27"/>
      <c r="F300" s="27"/>
      <c r="G300" s="27"/>
      <c r="H300" s="27"/>
      <c r="I300" s="27"/>
      <c r="J300" s="28"/>
      <c r="K300" s="27"/>
      <c r="L300" s="28"/>
      <c r="M300" s="28"/>
    </row>
    <row r="301" spans="1:13">
      <c r="A301" s="27"/>
      <c r="B301" s="28"/>
      <c r="C301" s="28"/>
      <c r="D301" s="27"/>
      <c r="E301" s="27"/>
      <c r="F301" s="27"/>
      <c r="G301" s="27"/>
      <c r="H301" s="27"/>
      <c r="I301" s="27"/>
      <c r="J301" s="28"/>
      <c r="K301" s="27"/>
      <c r="L301" s="28"/>
      <c r="M301" s="28"/>
    </row>
    <row r="302" spans="1:13">
      <c r="A302" s="27"/>
      <c r="B302" s="28"/>
      <c r="C302" s="28"/>
      <c r="D302" s="27"/>
      <c r="E302" s="27"/>
      <c r="F302" s="27"/>
      <c r="G302" s="27"/>
      <c r="H302" s="27"/>
      <c r="I302" s="27"/>
      <c r="J302" s="28"/>
      <c r="K302" s="27"/>
      <c r="L302" s="28"/>
      <c r="M302" s="28"/>
    </row>
    <row r="303" spans="1:13">
      <c r="A303" s="27"/>
      <c r="B303" s="28"/>
      <c r="C303" s="28"/>
      <c r="D303" s="27"/>
      <c r="E303" s="27"/>
      <c r="F303" s="27"/>
      <c r="G303" s="27"/>
      <c r="H303" s="27"/>
      <c r="I303" s="27"/>
      <c r="J303" s="28"/>
      <c r="K303" s="27"/>
      <c r="L303" s="28"/>
      <c r="M303" s="28"/>
    </row>
    <row r="304" spans="1:13">
      <c r="A304" s="27"/>
      <c r="B304" s="28"/>
      <c r="C304" s="28"/>
      <c r="D304" s="27"/>
      <c r="E304" s="27"/>
      <c r="F304" s="27"/>
      <c r="G304" s="27"/>
      <c r="H304" s="27"/>
      <c r="I304" s="27"/>
      <c r="J304" s="28"/>
      <c r="K304" s="27"/>
      <c r="L304" s="28"/>
      <c r="M304" s="28"/>
    </row>
    <row r="305" spans="1:13">
      <c r="A305" s="27"/>
      <c r="B305" s="28"/>
      <c r="C305" s="28"/>
      <c r="D305" s="27"/>
      <c r="E305" s="27"/>
      <c r="F305" s="27"/>
      <c r="G305" s="27"/>
      <c r="H305" s="27"/>
      <c r="I305" s="27"/>
      <c r="J305" s="28"/>
      <c r="K305" s="27"/>
      <c r="L305" s="28"/>
      <c r="M305" s="28"/>
    </row>
    <row r="306" spans="1:13">
      <c r="A306" s="27"/>
      <c r="B306" s="28"/>
      <c r="C306" s="28"/>
      <c r="D306" s="27"/>
      <c r="E306" s="27"/>
      <c r="F306" s="27"/>
      <c r="G306" s="27"/>
      <c r="H306" s="27"/>
      <c r="I306" s="27"/>
      <c r="J306" s="28"/>
      <c r="K306" s="27"/>
      <c r="L306" s="28"/>
      <c r="M306" s="28"/>
    </row>
    <row r="307" spans="1:13">
      <c r="A307" s="27"/>
      <c r="B307" s="28"/>
      <c r="C307" s="28"/>
      <c r="D307" s="27"/>
      <c r="E307" s="27"/>
      <c r="F307" s="27"/>
      <c r="G307" s="27"/>
      <c r="H307" s="27"/>
      <c r="I307" s="27"/>
      <c r="J307" s="28"/>
      <c r="K307" s="27"/>
      <c r="L307" s="28"/>
      <c r="M307" s="28"/>
    </row>
    <row r="308" spans="1:13">
      <c r="A308" s="27"/>
      <c r="B308" s="28"/>
      <c r="C308" s="28"/>
      <c r="D308" s="27"/>
      <c r="E308" s="27"/>
      <c r="F308" s="27"/>
      <c r="G308" s="27"/>
      <c r="H308" s="27"/>
      <c r="I308" s="27"/>
      <c r="J308" s="28"/>
      <c r="K308" s="27"/>
      <c r="L308" s="28"/>
      <c r="M308" s="28"/>
    </row>
    <row r="309" spans="1:13">
      <c r="A309" s="27"/>
      <c r="B309" s="28"/>
      <c r="C309" s="28"/>
      <c r="D309" s="27"/>
      <c r="E309" s="27"/>
      <c r="F309" s="27"/>
      <c r="G309" s="27"/>
      <c r="H309" s="27"/>
      <c r="I309" s="27"/>
      <c r="J309" s="28"/>
      <c r="K309" s="27"/>
      <c r="L309" s="28"/>
      <c r="M309" s="28"/>
    </row>
    <row r="310" spans="1:13">
      <c r="A310" s="27"/>
      <c r="B310" s="28"/>
      <c r="C310" s="28"/>
      <c r="D310" s="27"/>
      <c r="E310" s="27"/>
      <c r="F310" s="27"/>
      <c r="G310" s="27"/>
      <c r="H310" s="27"/>
      <c r="I310" s="27"/>
      <c r="J310" s="28"/>
      <c r="K310" s="27"/>
      <c r="L310" s="28"/>
      <c r="M310" s="28"/>
    </row>
  </sheetData>
  <autoFilter ref="A6:M310" xr:uid="{00000000-0009-0000-0000-000002000000}"/>
  <mergeCells count="2">
    <mergeCell ref="A1:M1"/>
    <mergeCell ref="A2:M2"/>
  </mergeCells>
  <phoneticPr fontId="18" type="noConversion"/>
  <conditionalFormatting sqref="A4">
    <cfRule type="dataBar" priority="2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{1241FCFC-4029-4F27-A4A0-9AC58EABA073}</x14:id>
        </ext>
      </extLst>
    </cfRule>
  </conditionalFormatting>
  <conditionalFormatting sqref="J7:J310">
    <cfRule type="cellIs" dxfId="6" priority="3" operator="equal">
      <formula>"N/T"</formula>
    </cfRule>
    <cfRule type="cellIs" dxfId="5" priority="4" operator="equal">
      <formula>"진행중"</formula>
    </cfRule>
    <cfRule type="cellIs" dxfId="4" priority="5" operator="equal">
      <formula>"N/A"</formula>
    </cfRule>
    <cfRule type="cellIs" dxfId="3" priority="6" operator="equal">
      <formula>"PASS"</formula>
    </cfRule>
    <cfRule type="cellIs" dxfId="2" priority="7" operator="equal">
      <formula>"FIXED"</formula>
    </cfRule>
    <cfRule type="cellIs" dxfId="1" priority="8" operator="equal">
      <formula>"FAIL"</formula>
    </cfRule>
    <cfRule type="cellIs" dxfId="0" priority="9" operator="equal">
      <formula>"Reopen"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41FCFC-4029-4F27-A4A0-9AC58EABA073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A4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Code!$A$2:$A$11</xm:f>
          </x14:formula1>
          <x14:formula2>
            <xm:f>0</xm:f>
          </x14:formula2>
          <xm:sqref>J7:J310</xm:sqref>
        </x14:dataValidation>
        <x14:dataValidation type="list" allowBlank="1" xr:uid="{00000000-0002-0000-0200-000001000000}">
          <x14:formula1>
            <xm:f>Code!$B$2:$B$11</xm:f>
          </x14:formula1>
          <x14:formula2>
            <xm:f>0</xm:f>
          </x14:formula2>
          <xm:sqref>L7:L310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E11"/>
  <sheetViews>
    <sheetView showGridLines="0" zoomScaleNormal="100" workbookViewId="0">
      <selection activeCell="C2" sqref="C2"/>
    </sheetView>
  </sheetViews>
  <sheetFormatPr defaultColWidth="8.7109375" defaultRowHeight="15"/>
  <cols>
    <col min="1" max="1" width="18" customWidth="1"/>
    <col min="2" max="2" width="12" customWidth="1"/>
    <col min="3" max="3" width="24" customWidth="1"/>
    <col min="4" max="4" width="3" customWidth="1"/>
    <col min="5" max="5" width="60" customWidth="1"/>
  </cols>
  <sheetData>
    <row r="1" spans="1:5">
      <c r="A1" s="8" t="s">
        <v>65</v>
      </c>
      <c r="B1" s="29" t="s">
        <v>40</v>
      </c>
      <c r="C1" s="8" t="s">
        <v>66</v>
      </c>
      <c r="E1" s="29" t="s">
        <v>67</v>
      </c>
    </row>
    <row r="2" spans="1:5">
      <c r="A2" s="30" t="s">
        <v>24</v>
      </c>
      <c r="B2" s="30" t="s">
        <v>41</v>
      </c>
      <c r="C2" s="30"/>
      <c r="E2" s="31" t="s">
        <v>68</v>
      </c>
    </row>
    <row r="3" spans="1:5">
      <c r="A3" s="14" t="s">
        <v>26</v>
      </c>
      <c r="B3" s="30" t="s">
        <v>43</v>
      </c>
      <c r="C3" s="14"/>
      <c r="E3" s="32" t="s">
        <v>69</v>
      </c>
    </row>
    <row r="4" spans="1:5">
      <c r="A4" s="30" t="s">
        <v>28</v>
      </c>
      <c r="B4" s="30" t="s">
        <v>45</v>
      </c>
      <c r="C4" s="14"/>
      <c r="E4" s="31" t="s">
        <v>70</v>
      </c>
    </row>
    <row r="5" spans="1:5">
      <c r="A5" s="30" t="s">
        <v>30</v>
      </c>
      <c r="B5" s="14"/>
      <c r="C5" s="14"/>
      <c r="E5" s="31" t="s">
        <v>71</v>
      </c>
    </row>
    <row r="6" spans="1:5">
      <c r="A6" s="30" t="s">
        <v>32</v>
      </c>
      <c r="B6" s="14"/>
      <c r="C6" s="14"/>
      <c r="E6" s="31" t="s">
        <v>72</v>
      </c>
    </row>
    <row r="7" spans="1:5">
      <c r="A7" s="30" t="s">
        <v>34</v>
      </c>
      <c r="B7" s="14"/>
      <c r="C7" s="14"/>
      <c r="E7" s="31" t="s">
        <v>73</v>
      </c>
    </row>
    <row r="8" spans="1:5">
      <c r="A8" s="30" t="s">
        <v>36</v>
      </c>
      <c r="B8" s="14"/>
      <c r="C8" s="14"/>
      <c r="E8" s="31" t="s">
        <v>74</v>
      </c>
    </row>
    <row r="9" spans="1:5">
      <c r="A9" s="14"/>
      <c r="B9" s="14"/>
      <c r="C9" s="14"/>
    </row>
    <row r="10" spans="1:5">
      <c r="A10" s="14"/>
      <c r="B10" s="14"/>
      <c r="C10" s="14"/>
      <c r="E10" s="33" t="s">
        <v>75</v>
      </c>
    </row>
    <row r="11" spans="1:5">
      <c r="A11" s="14"/>
      <c r="B11" s="14"/>
      <c r="C11" s="14"/>
      <c r="E11" s="33" t="s">
        <v>76</v>
      </c>
    </row>
  </sheetData>
  <phoneticPr fontId="1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History</vt:lpstr>
      <vt:lpstr>Summary</vt:lpstr>
      <vt:lpstr>TC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 동호B</cp:lastModifiedBy>
  <cp:revision>0</cp:revision>
  <dcterms:created xsi:type="dcterms:W3CDTF">2026-10-15T05:03:13Z</dcterms:created>
  <dcterms:modified xsi:type="dcterms:W3CDTF">2026-10-27T06:42:46Z</dcterms:modified>
  <dc:language>en-US</dc:language>
</cp:coreProperties>
</file>