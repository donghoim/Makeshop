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 실행표" state="visible" r:id="rId4"/>
    <sheet sheetId="2" name="검토 사항" state="visible" r:id="rId5"/>
  </sheets>
  <calcPr calcId="171027"/>
</workbook>
</file>

<file path=xl/sharedStrings.xml><?xml version="1.0" encoding="utf-8"?>
<sst xmlns="http://schemas.openxmlformats.org/spreadsheetml/2006/main" count="897" uniqueCount="473">
  <si>
    <t>[TC 사전 작성서] 원 요청 이슈 묶음상품 엑셀 등록·수정 — 기준: 사양 정의서 v6(2026-10-14)</t>
  </si>
  <si>
    <t>전체 TC</t>
  </si>
  <si>
    <t>P0</t>
  </si>
  <si>
    <t>기획 확인 필요</t>
  </si>
  <si>
    <t>개발 확인 필요</t>
  </si>
  <si>
    <t>구현 후 보완</t>
  </si>
  <si>
    <t>미실행</t>
  </si>
  <si>
    <t>통과</t>
  </si>
  <si>
    <t>실패</t>
  </si>
  <si>
    <t>보류</t>
  </si>
  <si>
    <t>TC ID</t>
  </si>
  <si>
    <t>유형</t>
  </si>
  <si>
    <t>우선순위</t>
  </si>
  <si>
    <t>메뉴 경로</t>
  </si>
  <si>
    <t>TC 제목</t>
  </si>
  <si>
    <t>관련 원본 ID</t>
  </si>
  <si>
    <t>선행조건</t>
  </si>
  <si>
    <t>테스트 데이터</t>
  </si>
  <si>
    <t>실행 절차</t>
  </si>
  <si>
    <t>단계별 기대 결과</t>
  </si>
  <si>
    <t>작성 상태</t>
  </si>
  <si>
    <t>실행 결과</t>
  </si>
  <si>
    <t>실제 결과·증빙</t>
  </si>
  <si>
    <t>담당자</t>
  </si>
  <si>
    <t>실행일</t>
  </si>
  <si>
    <t>비고</t>
  </si>
  <si>
    <t>TC-N-001</t>
  </si>
  <si>
    <t>정상</t>
  </si>
  <si>
    <t>P1</t>
  </si>
  <si>
    <t>메이크샵 관리자 &gt; 상품관리 &gt; 등록상품 일괄관리 &gt; 판매상품 엑셀업로드 / 판매상품 엑셀업로드 결과 / 메이크샵 관리자 &gt; 상품관리 &gt; [확인 필요: 메뉴] &gt; 묶음상품 수정</t>
  </si>
  <si>
    <t>신규 묶음상품을 엑셀로 등록하면 구성정보가 입력 순서대로 저장된다</t>
  </si>
  <si>
    <t>REQ-002, REQ-003, FR-003, FR-008, POL-004, POL-006, POL-023, AC-001</t>
  </si>
  <si>
    <t xml:space="preserve">UTF-8 테스트 상점, 운영자 계정 로그인
공통 기준 상품(TD-000) 준비 완료
두 컬럼이 추가된 68개 컬럼 예제 양식 사용</t>
  </si>
  <si>
    <t xml:space="preserve">TD-000(공통) 일반상품 101·102·103·104·105: 과세, 진열, 판매 가능, 분류 지정, 옵션 없음
묶음상품 201: 구성 101×2, 102×1, 판매가 30,000원
TD-001 | 역할: 운영자
초기: 상품명 "여름 래시가드 3종 묶음" 미등록
입력: 상품 고유번호 공란, 상품명 "여름 래시가드 3종 묶음", 판매가 59,000, 묶음 구성상품 `101,102,103`, 묶음수량 `2,1,1`
기대: 묶음상품 1건 신규 등록, 구성 101×2→102×1→103×1</t>
  </si>
  <si>
    <t xml:space="preserve">1. [사용자] 판매상품 엑셀업로드 화면에서 TD-001 파일을 선택하고 업로드합니다.
2. [시스템] 행별 신규/수정·상품 유형을 판정하고 두 컬럼을 검증합니다.
3. [사용자] 판매상품 엑셀업로드 결과에서 해당 행의 결과를 확인합니다.
4. [사용자] 등록된 상품을 묶음상품 수정 화면에서 엽니다.</t>
  </si>
  <si>
    <t xml:space="preserve">1. 업로드가 접수되고 오류 안내가 표시되지 않습니다.
2. 해당 행이 신규·묶음상품으로 판정됩니다.
3. 해당 행 결과가 성공이며 실패 사유가 없습니다.
4. 상품 유형이 묶음상품이고, 구성상품 목록이 101(수량 2), 102(수량 1), 103(수량 1) 순서로 표시되며 판매가가 59,000원입니다.</t>
  </si>
  <si>
    <t>작성 완료</t>
  </si>
  <si>
    <t/>
  </si>
  <si>
    <t>TC-N-002</t>
  </si>
  <si>
    <t>메이크샵 관리자 &gt; 상품관리 &gt; [확인 필요: 상위 메뉴] &gt; 상품 엑셀 다운로드 &gt; 엑셀 양식관리 / 메이크샵 관리자 &gt; 상품관리 &gt; 등록상품 일괄관리 &gt; 판매상품 엑셀업로드 / 메이크샵 관리자 &gt; 상품관리 &gt; [확인 필요: 메뉴] &gt; 묶음상품 수정</t>
  </si>
  <si>
    <t>기존 묶음상품의 판매가만 바꿔 재업로드하면 판매가만 반영되고 구성정보는 유지된다</t>
  </si>
  <si>
    <t>REQ-001, FR-005, FR-008, FR-010, POL-005, POL-023, POL-029, AC-015</t>
  </si>
  <si>
    <t xml:space="preserve">UTF-8 테스트 상점, 운영자 계정 로그인
공통 기준 상품(TD-000) 준비 완료
엑셀 양식관리에 "묶음 구성상품"·"묶음수량"을 포함한 양식 저장</t>
  </si>
  <si>
    <t xml:space="preserve">TD-000(공통) 일반상품 101·102·103·104·105: 과세, 진열, 판매 가능, 분류 지정, 옵션 없음
묶음상품 201: 구성 101×2, 102×1, 판매가 30,000원
TD-002 | 역할: 운영자
초기: 묶음상품 201 판매가 30,000원, 구성 101×2, 102×1
입력: 다운로드 파일에서 201 행의 판매가만 27,000으로 변경, 두 컬럼 값(`101,102` / `2,1`)은 그대로 둠
기대: 판매가 27,000원, 구성 101×2, 102×1 유지</t>
  </si>
  <si>
    <t xml:space="preserve">1. [사용자] 두 항목 포함 양식으로 묶음상품 201을 다운로드합니다.
2. [사용자] 201 행의 판매가를 27,000으로 바꿔 판매상품 엑셀업로드로 업로드합니다.
3. [시스템] 201 행을 기존 묶음상품 수정으로 판정하고 구성정보를 입력값으로 전체 교체합니다.
4. [사용자] 묶음상품 수정 화면에서 201을 엽니다.</t>
  </si>
  <si>
    <t xml:space="preserve">1. 다운로드 파일의 201 행에 묶음 구성상품 `101,102`, 묶음수량 `2,1`이 출력됩니다.
2. 업로드 결과에서 201 행이 성공입니다.
3. 상품 유형은 묶음상품으로 유지됩니다.
4. 판매가 27,000원, 구성 101×2, 102×1이 표시되며 구성상품 수·순서가 업로드 전과 같습니다.</t>
  </si>
  <si>
    <t>고객 요청의 핵심 사용 흐름(가격 일괄 수정)</t>
  </si>
  <si>
    <t>TC-N-003</t>
  </si>
  <si>
    <t>메이크샵 관리자 &gt; 상품관리 &gt; 등록상품 일괄관리 &gt; 판매상품 엑셀업로드 / 메이크샵 관리자 &gt; 상품관리 &gt; [확인 필요: 메뉴] &gt; 묶음상품 수정</t>
  </si>
  <si>
    <t>기존 묶음상품의 구성을 바꿔 업로드하면 구성정보가 전체 교체된다</t>
  </si>
  <si>
    <t>REQ-003, FR-008, POL-023, AC-006</t>
  </si>
  <si>
    <t xml:space="preserve">TD-000(공통) 일반상품 101·102·103·104·105: 과세, 진열, 판매 가능, 분류 지정, 옵션 없음
묶음상품 201: 구성 101×2, 102×1, 판매가 30,000원
TD-003 | 역할: 운영자
초기: 묶음상품 201 구성 101×2, 102×1
입력: 상품 고유번호 201, 묶음 구성상품 `101,103`, 묶음수량 `1,1`
기대: 구성 101×1, 103×1 (102 제외)</t>
  </si>
  <si>
    <t xml:space="preserve">1. [사용자] 판매상품 엑셀업로드 화면에서 TD-003 파일을 선택하고 업로드합니다.
2. [시스템] 행별 신규/수정·상품 유형을 판정하고 두 컬럼을 검증합니다.
3. [사용자] 판매상품 엑셀업로드 결과에서 해당 행의 결과를 확인합니다.
4. [사용자] 묶음상품 수정 화면에서 201을 엽니다.</t>
  </si>
  <si>
    <t xml:space="preserve">1. 업로드가 접수됩니다.
2. 201 행이 기존 묶음상품 수정으로 판정됩니다.
3. 201 행 결과가 성공입니다.
4. 구성상품이 101(수량 1), 103(수량 1) 2건만 표시되고 102는 구성에서 빠져 있습니다.</t>
  </si>
  <si>
    <t>TC-N-004</t>
  </si>
  <si>
    <t>P2</t>
  </si>
  <si>
    <t>메이크샵 관리자 &gt; 상품관리 &gt; 등록상품 일괄관리 &gt; 판매상품 엑셀업로드 / 메이크샵 관리자 &gt; 상품관리 &gt; [확인 필요: 상위 메뉴] &gt; 상품 엑셀 다운로드 &gt; 엑셀 양식관리</t>
  </si>
  <si>
    <t>같은 상품번호를 중복 입력한 묶음상품이 저장되고 다운로드 시 같은 대응으로 출력된다</t>
  </si>
  <si>
    <t>REQ-003, REQ-004, FR-006, FR-008, FR-009, POL-012, POL-026, AC-010, NFR-004</t>
  </si>
  <si>
    <t xml:space="preserve">UTF-8 테스트 상점, 운영자 계정 로그인
공통 기준 상품(TD-000) 준비 완료
두 컬럼이 추가된 68개 컬럼 예제 양식 사용
엑셀 양식관리에 두 항목 포함 양식 저장</t>
  </si>
  <si>
    <t xml:space="preserve">TD-000(공통) 일반상품 101·102·103·104·105: 과세, 진열, 판매 가능, 분류 지정, 옵션 없음
묶음상품 201: 구성 101×2, 102×1, 판매가 30,000원
TD-004 | 역할: 운영자
초기: 묶음상품 201 구성 101×2, 102×1
입력: 상품 고유번호 201, 묶음 구성상품 `101,101`, 묶음수량 `1,3`
기대: 구성 101×1, 101×3 순서·대응 유지</t>
  </si>
  <si>
    <t xml:space="preserve">1. [사용자] TD-004 파일을 업로드합니다.
2. [사용자] 두 항목 포함 양식으로 201을 다운로드합니다.
3. [사용자] 다운로드 파일을 수정하지 않고 그대로 업로드합니다.
4. [사용자] 두 항목 포함 양식으로 201을 다시 다운로드합니다.</t>
  </si>
  <si>
    <t xml:space="preserve">1. 201 행 결과가 성공이며 중복 관련 오류가 없습니다.
2. 201 행에 묶음 구성상품 `101,101`, 묶음수량 `1,3`이 출력됩니다.
3. 201 행 결과가 성공입니다.
4. 2번과 같은 값(`101,101` / `1,3`)이 출력됩니다.</t>
  </si>
  <si>
    <t>TC-N-005</t>
  </si>
  <si>
    <t>묶음수량 0과 모든 수량 0을 허용한다</t>
  </si>
  <si>
    <t>FR-007, POL-019</t>
  </si>
  <si>
    <t xml:space="preserve">TD-000(공통) 일반상품 101·102·103·104·105: 과세, 진열, 판매 가능, 분류 지정, 옵션 없음
묶음상품 201: 구성 101×2, 102×1, 판매가 30,000원
TD-005 | 역할: 운영자
초기: 묶음상품 201
입력: 행A 신규 묶음 `101,102` / `0,1`, 행B 상품 고유번호 201 `101,102` / `0,0`
기대: 두 행 모두 성공, 수량 0 그대로 저장</t>
  </si>
  <si>
    <t xml:space="preserve">1. [사용자] 판매상품 엑셀업로드 화면에서 TD-005 파일을 선택하고 업로드합니다.
2. [시스템] 행별 신규/수정·상품 유형을 판정하고 두 컬럼을 검증합니다.
3. [사용자] 판매상품 엑셀업로드 결과에서 해당 행의 결과를 확인합니다.
4. [사용자] 묶음상품 수정 화면에서 행A 등록 상품과 201을 엽니다.</t>
  </si>
  <si>
    <t xml:space="preserve">1. 업로드가 접수됩니다.
2. 두 행 모두 묶음상품으로 판정됩니다.
3. 두 행 모두 성공이며 묶음수량 형식 오류가 없습니다.
4. 행A 상품은 101(0), 102(1), 201은 101(0), 102(0)으로 표시됩니다.</t>
  </si>
  <si>
    <t>TC-N-006</t>
  </si>
  <si>
    <t>메이크샵 관리자 &gt; 상품관리 &gt; [확인 필요: 상위 메뉴] &gt; 상품 엑셀 다운로드 &gt; 엑셀 양식관리</t>
  </si>
  <si>
    <t>엑셀 양식관리에서 두 항목을 선택·저장할 수 있다</t>
  </si>
  <si>
    <t>REQ-004, FR-009, POL-025</t>
  </si>
  <si>
    <t xml:space="preserve">UTF-8 테스트 상점, 운영자 계정 로그인
공통 기준 상품(TD-000) 준비 완료</t>
  </si>
  <si>
    <t xml:space="preserve">TD-006 | 역할: 운영자
초기: 저장된 양식 "묶음수정용" 없음
입력: 새 양식 "묶음수정용"에 기존 항목 + "묶음 구성상품"·"묶음수량" 선택, 순서 변경 후 저장
기대: 양식 목록에 "묶음수정용" 저장, 두 항목 포함</t>
  </si>
  <si>
    <t xml:space="preserve">1. [사용자] 엑셀 양식관리에서 선택 가능 항목 목록을 확인합니다.
2. [사용자] "묶음 구성상품"·"묶음수량"을 선택하고 순서를 바꿉니다.
3. [사용자] "묶음수정용"으로 저장한 뒤 다시 엽니다.</t>
  </si>
  <si>
    <t xml:space="preserve">1. 선택 가능 항목에 "묶음 구성상품"과 "묶음수량"이 있습니다.
2. 두 항목의 선택·제외·순서 변경이 기존 항목과 같은 방식으로 동작합니다.
3. 저장한 양식에 두 항목이 변경한 순서대로 남아 있습니다.</t>
  </si>
  <si>
    <t>TC-N-007</t>
  </si>
  <si>
    <t>두 항목 포함 양식으로 다운로드하면 묶음상품은 구성 순서대로, 일반상품은 공란으로 출력된다</t>
  </si>
  <si>
    <t>REQ-004, FR-009, POL-025, AC-013</t>
  </si>
  <si>
    <t xml:space="preserve">UTF-8 테스트 상점, 운영자 계정 로그인
공통 기준 상품(TD-000) 준비 완료
TC-N-006의 "묶음수정용" 양식 저장</t>
  </si>
  <si>
    <t xml:space="preserve">TD-000(공통) 일반상품 101·102·103·104·105: 과세, 진열, 판매 가능, 분류 지정, 옵션 없음
묶음상품 201: 구성 101×2, 102×1, 판매가 30,000원
TD-007 | 역할: 운영자
초기: 묶음상품 201(101×2, 102×1), 일반상품 101
입력: "묶음수정용" 양식으로 201·101 다운로드
기대: 201 행 `101,102` / `2,1`, 101 행 두 칸 공란</t>
  </si>
  <si>
    <t xml:space="preserve">1. [사용자] "묶음수정용" 양식으로 201과 101을 다운로드합니다.
2. [사용자] 다운로드 파일에서 201 행을 확인합니다.
3. [사용자] 다운로드 파일에서 101 행을 확인합니다.</t>
  </si>
  <si>
    <t xml:space="preserve">1. 엑셀 파일이 다운로드되고 "묶음 구성상품"·"묶음수량" 열이 있습니다.
2. 묶음 구성상품 `101,102`, 묶음수량 `2,1`이 저장된 구성 순서대로 콤마 구분 출력됩니다.
3. 묶음 구성상품·묶음수량 두 칸이 비어 있습니다.</t>
  </si>
  <si>
    <t>TC-N-008</t>
  </si>
  <si>
    <t>메이크샵 관리자 &gt; 상품관리 &gt; [확인 필요: 상위 메뉴] &gt; 상품 엑셀 다운로드 &gt; 엑셀 양식관리 / 메이크샵 관리자 &gt; 상품관리 &gt; 등록상품 일괄관리 &gt; 판매상품 엑셀업로드</t>
  </si>
  <si>
    <t>다운로드한 묶음상품 파일을 그대로 재업로드하면 구성정보가 바뀌지 않는다</t>
  </si>
  <si>
    <t>REQ-004, FR-009, POL-026, NFR-004</t>
  </si>
  <si>
    <t xml:space="preserve">UTF-8 테스트 상점, 운영자 계정 로그인
공통 기준 상품(TD-000) 준비 완료
"묶음수정용" 양식 저장</t>
  </si>
  <si>
    <t xml:space="preserve">TD-000(공통) 일반상품 101·102·103·104·105: 과세, 진열, 판매 가능, 분류 지정, 옵션 없음
묶음상품 201: 구성 101×2, 102×1, 판매가 30,000원
TD-008 | 역할: 운영자
초기: 묶음상품 201(101×2, 102×1), TC-N-001로 등록한 묶음상품(101×2, 102×1, 103×1)
입력: 두 상품을 다운로드한 파일을 수정 없이 업로드
기대: 두 상품의 구성·판매가 변화 없음</t>
  </si>
  <si>
    <t xml:space="preserve">1. [사용자] "묶음수정용" 양식으로 두 묶음상품을 다운로드합니다.
2. [사용자] 파일을 수정하지 않고 판매상품 엑셀업로드로 업로드합니다.
3. [사용자] 같은 양식으로 다시 다운로드해 1번 파일과 비교합니다.</t>
  </si>
  <si>
    <t xml:space="preserve">1. 두 행에 구성정보가 출력됩니다.
2. 두 행 모두 성공입니다.
3. 두 행의 묶음 구성상품·묶음수량·판매가가 1번 파일과 같습니다.</t>
  </si>
  <si>
    <t>TC-N-009</t>
  </si>
  <si>
    <t>메이크샵 관리자 &gt; 상품관리 &gt; 등록상품 일괄관리 &gt; 판매상품 엑셀업로드</t>
  </si>
  <si>
    <t>68개 컬럼 양식에서 두 컬럼을 비운 신규 행은 일반상품으로 등록된다</t>
  </si>
  <si>
    <t>REQ-002, REQ-006, FR-003, POL-007, AC-002</t>
  </si>
  <si>
    <t xml:space="preserve">TD-009 | 역할: 운영자
초기: 상품명 "베이직 반팔 티셔츠 화이트" 미등록
입력: 상품 고유번호 공란, 옵션 사용 여부 등 현행 일반상품 필수값 입력, 두 컬럼 공란
기대: 일반상품 1건 등록</t>
  </si>
  <si>
    <t xml:space="preserve">1. [사용자] 판매상품 엑셀업로드 화면에서 TD-009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</si>
  <si>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해당 행이 신규·일반상품으로 판정됩니다.
3. 해당 행 결과가 성공이며 등록된 상품의 유형이 일반상품입니다.</t>
  </si>
  <si>
    <t>TC-N-010</t>
  </si>
  <si>
    <t>판매상품 엑셀업로드 화면의 예제 양식·항목 설명이 68개 컬럼으로 교체된다</t>
  </si>
  <si>
    <t>REQ-001, FR-001, POL-001</t>
  </si>
  <si>
    <t xml:space="preserve">TD-010 | 역할: 운영자
초기: 배포 후 상태
입력: 예제 양식 다운로드
기대: 기존 66개 컬럼 순서 유지 + 맨 뒤 "묶음 구성상품", "묶음수량"</t>
  </si>
  <si>
    <t xml:space="preserve">1. [사용자] 판매상품 엑셀업로드 화면의 항목 설명을 확인합니다.
2. [사용자] 예제 양식을 다운로드해 열 순서를 확인합니다.</t>
  </si>
  <si>
    <t xml:space="preserve">1. 항목 설명에 "묶음 구성상품"·"묶음수량"과 입력 방법(콤마 구분, 순서 1:1 대응)이 있습니다.
2. 기존 66개 컬럼 순서가 바뀌지 않았고 그 뒤에 "묶음 구성상품", "묶음수량"이 차례로 있습니다.</t>
  </si>
  <si>
    <t>항목 설명 실제 문구는 구현 후 확인</t>
  </si>
  <si>
    <t>TC-N-011</t>
  </si>
  <si>
    <t>묶음상품 행의 옵션·재고 수량·판매가능여부는 무시되고 옵션 필수 검증이 생략된다</t>
  </si>
  <si>
    <t>REQ-001, FR-010, POL-027, POL-028, AC-014</t>
  </si>
  <si>
    <t xml:space="preserve">TD-000(공통) 일반상품 101·102·103·104·105: 과세, 진열, 판매 가능, 분류 지정, 옵션 없음
묶음상품 201: 구성 101×2, 102×1, 판매가 30,000원
TD-011 | 역할: 운영자
초기: 묶음상품 201 옵션 없음
입력: 상품 고유번호 201, 두 컬럼 `101,102` / `2,1`, 옵션 사용 여부 공란, 옵션명 "색상", 재고 수량 50, 판매가능여부 값 입력
기대: 성공, 옵션·재고·판매가능여부 미반영</t>
  </si>
  <si>
    <t xml:space="preserve">1. [사용자] 판매상품 엑셀업로드 화면에서 TD-011 파일을 선택하고 업로드합니다.
2. [시스템] 행별 신규/수정·상품 유형을 판정하고 두 컬럼을 검증합니다.
3. [사용자] 판매상품 엑셀업로드 결과에서 해당 행의 결과를 확인합니다.
4. [사용자] 묶음상품 수정 화면에서 201을 엽니다.</t>
  </si>
  <si>
    <t xml:space="preserve">1. 업로드가 접수됩니다.
2. 옵션 사용 여부 공란에 대한 필수값 오류가 발생하지 않습니다.
3. 201 행 결과가 성공입니다.
4. 옵션이 생성되지 않았고, 재고·판매가능여부가 업로드 전과 같습니다.</t>
  </si>
  <si>
    <t>TC-N-012</t>
  </si>
  <si>
    <t>P3</t>
  </si>
  <si>
    <t>콤마 앞뒤 공백 등 해석이 기존 콤마 구분 컬럼과 같다</t>
  </si>
  <si>
    <t>FR-001, POL-002</t>
  </si>
  <si>
    <t xml:space="preserve">TD-000(공통) 일반상품 101·102·103·104·105: 과세, 진열, 판매 가능, 분류 지정, 옵션 없음
묶음상품 201: 구성 101×2, 102×1, 판매가 30,000원
TD-012 | 역할: 운영자
초기: 묶음상품 201
입력: 상품 고유번호 201, 묶음 구성상품 `101, 102`, 묶음수량 `2, 1`
기대: 기존 콤마 구분 컬럼의 공백 처리 규칙과 같은 결과</t>
  </si>
  <si>
    <t xml:space="preserve">1. [사용자] 판매상품 엑셀업로드 화면에서 TD-012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</si>
  <si>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공백을 기존 콤마 구분 컬럼과 같은 규칙으로 해석합니다.
3. 기존 콤마 구분 컬럼과 같은 결과(성공 또는 같은 실패 사유)가 표시됩니다.</t>
  </si>
  <si>
    <t>CHK-008: 기존 콤마 구분 컬럼의 공백 처리 규칙 확인 후 기대 결과 확정</t>
  </si>
  <si>
    <t>TC-E-001</t>
  </si>
  <si>
    <t>예외</t>
  </si>
  <si>
    <t>메이크샵 관리자 &gt; 상품관리 &gt; 등록상품 일괄관리 &gt; 판매상품 엑셀업로드 / 판매상품 엑셀업로드 결과</t>
  </si>
  <si>
    <t>신규 행에 묶음 구성상품만 입력하면 구성정보 일부 누락 오류가 난다</t>
  </si>
  <si>
    <t>FR-003, POL-008, AC-003</t>
  </si>
  <si>
    <t xml:space="preserve">TD-000(공통) 일반상품 101·102·103·104·105: 과세, 진열, 판매 가능, 분류 지정, 옵션 없음
묶음상품 201: 구성 101×2, 102×1, 판매가 30,000원
TD-101 | 역할: 운영자
초기: 상품명 "테스트 묶음 A" 미등록
입력: 상품 고유번호 공란, 묶음 구성상품 `101,102`, 묶음수량 공란
기대: 미등록</t>
  </si>
  <si>
    <t xml:space="preserve">1. [사용자] 판매상품 엑셀업로드 화면에서 TD-101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</si>
  <si>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해당 행이 신규 행이며 두 컬럼 중 하나만 입력된 것으로 판정됩니다.
3. 해당 행 결과가 실패, 실패 사유 "구성정보 일부 누락"이며 "테스트 묶음 A"가 등록되지 않았습니다.</t>
  </si>
  <si>
    <t>실패 사유 실제 문구는 구현 후 확인(CHK-006)</t>
  </si>
  <si>
    <t>TC-E-002</t>
  </si>
  <si>
    <t>신규 행에 묶음수량만 입력하면 구성정보 일부 누락 오류가 난다</t>
  </si>
  <si>
    <t>FR-003, POL-008</t>
  </si>
  <si>
    <t xml:space="preserve">TD-102 | 역할: 운영자
초기: 상품명 "테스트 묶음 B" 미등록
입력: 상품 고유번호 공란, 묶음 구성상품 공란, 묶음수량 `1,1`
기대: 미등록</t>
  </si>
  <si>
    <t xml:space="preserve">1. [사용자] 판매상품 엑셀업로드 화면에서 TD-102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</si>
  <si>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해당 행이 신규 행이며 두 컬럼 중 하나만 입력된 것으로 판정됩니다.
3. 해당 행 결과가 실패, 실패 사유 "구성정보 일부 누락"이며 "테스트 묶음 B"가 등록되지 않았습니다.</t>
  </si>
  <si>
    <t>TC-E-003</t>
  </si>
  <si>
    <t>일반상품 수정 행에 두 컬럼을 입력하면 상품 유형 변경 불가 오류가 나고 상품이 바뀌지 않는다</t>
  </si>
  <si>
    <t>REQ-001, FR-004, POL-005, POL-009, AC-004</t>
  </si>
  <si>
    <t xml:space="preserve">TD-000(공통) 일반상품 101·102·103·104·105: 과세, 진열, 판매 가능, 분류 지정, 옵션 없음
묶음상품 201: 구성 101×2, 102×1, 판매가 30,000원
TD-103 | 역할: 운영자
초기: 일반상품 104 판매가 15,000원
입력: 상품 고유번호 104, 판매가 12,000, 묶음 구성상품 `101,102`, 묶음수량 `1,1`
기대: 104는 일반상품, 판매가 15,000원 유지</t>
  </si>
  <si>
    <t xml:space="preserve">1. [사용자] 판매상품 엑셀업로드 화면에서 TD-103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</si>
  <si>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104 행이 기존 일반상품 수정이며 두 컬럼 값이 있는 것으로 판정됩니다.
3. 104 행 결과가 실패, 실패 사유 "상품 유형 변경 불가"이며 104의 유형(일반상품)·판매가(15,000원)가 바뀌지 않았습니다.</t>
  </si>
  <si>
    <t>같은 행의 다른 컬럼 변경도 반영되지 않아야 함(무시가 아닌 오류)</t>
  </si>
  <si>
    <t>TC-E-004</t>
  </si>
  <si>
    <t>일반상품 수정 행에 한 컬럼만 입력해도 상품 유형 변경 불가 오류가 난다</t>
  </si>
  <si>
    <t>FR-004, POL-009</t>
  </si>
  <si>
    <t xml:space="preserve">TD-000(공통) 일반상품 101·102·103·104·105: 과세, 진열, 판매 가능, 분류 지정, 옵션 없음
묶음상품 201: 구성 101×2, 102×1, 판매가 30,000원
TD-104 | 역할: 운영자
초기: 일반상품 105
입력: 상품 고유번호 105, 묶음 구성상품 공란, 묶음수량 `1`
기대: 105 변경 없음</t>
  </si>
  <si>
    <t xml:space="preserve">1. [사용자] 판매상품 엑셀업로드 화면에서 TD-104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</si>
  <si>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105 행이 기존 일반상품 수정이며 두 컬럼 중 하나 이상 입력된 것으로 판정됩니다.
3. 105 행 결과가 실패, 실패 사유 "상품 유형 변경 불가"이며 105가 바뀌지 않았습니다.</t>
  </si>
  <si>
    <t>TC-E-005</t>
  </si>
  <si>
    <t>묶음상품 수정 행의 두 컬럼이 공란이면 필수값 누락 오류가 나고 기존 구성·판매가가 유지된다</t>
  </si>
  <si>
    <t>REQ-001, FR-005, POL-010, POL-024, AC-005</t>
  </si>
  <si>
    <t xml:space="preserve">TD-000(공통) 일반상품 101·102·103·104·105: 과세, 진열, 판매 가능, 분류 지정, 옵션 없음
묶음상품 201: 구성 101×2, 102×1, 판매가 30,000원
TD-105 | 역할: 운영자
초기: 묶음상품 201 구성 101×2, 102×1, 판매가 30,000원
입력: 상품 고유번호 201, 판매가 25,000, 두 컬럼 공란
기대: 201 구성·판매가 변경 없음</t>
  </si>
  <si>
    <t xml:space="preserve">1. [사용자] 판매상품 엑셀업로드 화면에서 TD-105 파일을 선택하고 업로드합니다.
2. [시스템] 행별 신규/수정·상품 유형을 판정하고 두 컬럼을 검증합니다.
3. [사용자] 판매상품 엑셀업로드 결과에서 해당 행의 결과를 확인합니다.
4. [사용자] 묶음상품 수정 화면에서 201을 엽니다.</t>
  </si>
  <si>
    <t xml:space="preserve">1. 업로드가 접수됩니다.
2. 201 행이 묶음상품 행이며 두 컬럼이 공란인 것으로 판정됩니다.
3. 201 행 결과가 실패, 실패 사유 "필수값 누락"입니다.
4. 구성 101×2, 102×1, 판매가 30,000원이 그대로입니다(구성 삭제·판매가 변경 없음).</t>
  </si>
  <si>
    <t>데이터 손실 방지 핵심 TC</t>
  </si>
  <si>
    <t>TC-E-006</t>
  </si>
  <si>
    <t>두 컬럼이 없는 기존 66개 컬럼 양식으로 묶음상품을 수정하면 필수값 누락 오류가 난다</t>
  </si>
  <si>
    <t>FR-005, POL-010, POL-024, AC-005</t>
  </si>
  <si>
    <t xml:space="preserve">UTF-8 테스트 상점, 운영자 계정 로그인
공통 기준 상품(TD-000) 준비 완료
기존 66개 컬럼 양식 파일 준비</t>
  </si>
  <si>
    <t xml:space="preserve">TD-000(공통) 일반상품 101·102·103·104·105: 과세, 진열, 판매 가능, 분류 지정, 옵션 없음
묶음상품 201: 구성 101×2, 102×1, 판매가 30,000원
TD-106 | 역할: 운영자
초기: 묶음상품 201 판매가 30,000원
입력: 66개 컬럼 양식, 상품 고유번호 201, 판매가 25,000
기대: 201 변경 없음</t>
  </si>
  <si>
    <t xml:space="preserve">1. [사용자] 판매상품 엑셀업로드 화면에서 TD-106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</si>
  <si>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201 행이 묶음상품 행이며 두 컬럼이 없는 것으로 판정됩니다.
3. 201 행 결과가 실패, 실패 사유 "필수값 누락"이며 201 판매가가 30,000원 그대로입니다.</t>
  </si>
  <si>
    <t>TC-E-007</t>
  </si>
  <si>
    <t>콤마 사이에 빈 항목이 있으면 구성정보 값 누락 오류가 난다</t>
  </si>
  <si>
    <t>FR-006, POL-003</t>
  </si>
  <si>
    <t xml:space="preserve">TD-000(공통) 일반상품 101·102·103·104·105: 과세, 진열, 판매 가능, 분류 지정, 옵션 없음
묶음상품 201: 구성 101×2, 102×1, 판매가 30,000원
TD-107 | 역할: 운영자
초기: 묶음상품 201 구성 101×2, 102×1
입력: 행A 201 `101,,103` / `1,1,1`, 행B 201 `101,102` / `1,`
기대: 201 구성 변경 없음</t>
  </si>
  <si>
    <t xml:space="preserve">1. [사용자] 판매상품 엑셀업로드 화면에서 TD-107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</si>
  <si>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두 행 모두 빈 항목이 있는 것으로 판정됩니다.
3. 두 행 모두 실패, 실패 사유 "구성정보 값 누락"이며 201 구성이 101×2, 102×1 그대로입니다.</t>
  </si>
  <si>
    <t>행A·행B는 별도 파일로 각각 업로드</t>
  </si>
  <si>
    <t>TC-E-008</t>
  </si>
  <si>
    <t>존재하지 않는·다른 상점·숫자가 아닌 구성상품은 존재하지 않는 구성상품 오류가 난다</t>
  </si>
  <si>
    <t>FR-006, POL-013</t>
  </si>
  <si>
    <t xml:space="preserve">TD-000(공통) 일반상품 101·102·103·104·105: 과세, 진열, 판매 가능, 분류 지정, 옵션 없음
묶음상품 201: 구성 101×2, 102×1, 판매가 30,000원
TD-108 | 역할: 운영자
초기: 999999는 미존재 번호, 401은 다른 테스트 상점의 상품번호
입력: 신규 묶음 3행 — 행A `101,999999`, 행B `101,401`, 행C `101,abc` (묶음수량 모두 `1,1`)
기대: 3행 모두 미등록</t>
  </si>
  <si>
    <t xml:space="preserve">1. [사용자] 판매상품 엑셀업로드 화면에서 TD-108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</si>
  <si>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각 행의 두 번째 구성상품이 같은 상점에 없는 값으로 판정됩니다.
3. 3행 모두 실패, 실패 사유 "존재하지 않는 구성상품"이며 등록된 상품이 없습니다.</t>
  </si>
  <si>
    <t>TC-E-009</t>
  </si>
  <si>
    <t>구성상품에 묶음상품을 넣으면 지정 불가 오류가 난다</t>
  </si>
  <si>
    <t>FR-006, POL-014, AC-007</t>
  </si>
  <si>
    <t xml:space="preserve">TD-000(공통) 일반상품 101·102·103·104·105: 과세, 진열, 판매 가능, 분류 지정, 옵션 없음
묶음상품 201: 구성 101×2, 102×1, 판매가 30,000원
TD-109 | 역할: 운영자
초기: 묶음상품 201
입력: 신규 묶음 `101,201` / `1,1`
기대: 미등록</t>
  </si>
  <si>
    <t xml:space="preserve">1. [사용자] 판매상품 엑셀업로드 화면에서 TD-109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</si>
  <si>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구성상품 201이 묶음상품으로 판정됩니다.
3. 해당 행 결과가 실패, 실패 사유 "묶음상품은 구성상품으로 지정 불가"이며 상품이 등록되지 않았습니다.</t>
  </si>
  <si>
    <t>TC-E-010</t>
  </si>
  <si>
    <t>묶음상품 등록 화면에서 제외되는 유형을 구성상품으로 넣으면 구성상품 등록 불가 오류가 난다</t>
  </si>
  <si>
    <t>FR-006, POL-015, AC-008</t>
  </si>
  <si>
    <t xml:space="preserve">TD-000(공통) 일반상품 101·102·103·104·105: 과세, 진열, 판매 가능, 분류 지정, 옵션 없음
묶음상품 201: 구성 101×2, 102×1, 판매가 30,000원
TD-110 | 역할: 운영자
초기: 301 공급자 상품, 302 분류 미지정 상품, 304 하이브리드·DIY 옵션 상품, 305 정기배송 전용 상품
입력: 신규 묶음 4행 — `101,301`, `101,302`, `101,304`, `101,305` (묶음수량 모두 `1,1`)
기대: 4행 모두 미등록</t>
  </si>
  <si>
    <t xml:space="preserve">1. [사용자] 판매상품 엑셀업로드 화면에서 TD-110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</si>
  <si>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각 행의 두 번째 구성상품이 묶음상품 등록 화면의 제외 유형으로 판정됩니다.
3. 4행 모두 실패, 실패 사유 "구성상품 등록 불가"이며 등록된 상품이 없습니다.</t>
  </si>
  <si>
    <t>테스트 상점에서 4개 유형 상품 준비 가능 여부 확인(CHK-009)</t>
  </si>
  <si>
    <t>TC-E-011</t>
  </si>
  <si>
    <t>구성상품 간 부가세 구분이 다르면 구성상품 등록 불가 오류가 난다</t>
  </si>
  <si>
    <t>FR-006, POL-016, AC-009</t>
  </si>
  <si>
    <t xml:space="preserve">TD-000(공통) 일반상품 101·102·103·104·105: 과세, 진열, 판매 가능, 분류 지정, 옵션 없음
묶음상품 201: 구성 101×2, 102×1, 판매가 30,000원
TD-111 | 역할: 운영자
초기: 303 면세 일반상품, 101 과세
입력: 신규 묶음 `101,303` / `1,1`
기대: 미등록</t>
  </si>
  <si>
    <t xml:space="preserve">1. [사용자] 판매상품 엑셀업로드 화면에서 TD-111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</si>
  <si>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구성상품 101(과세)과 303(면세)의 부가세 구분이 다른 것으로 판정됩니다.
3. 해당 행 결과가 실패, 실패 사유 "구성상품 등록 불가"이며 상품이 등록되지 않았습니다.</t>
  </si>
  <si>
    <t>TC-E-012</t>
  </si>
  <si>
    <t>품절·미진열·판매불가 상품의 구성상품 지정 결과가 묶음상품 등록 화면과 같다</t>
  </si>
  <si>
    <t>FR-006, POL-017</t>
  </si>
  <si>
    <t xml:space="preserve">TD-000(공통) 일반상품 101·102·103·104·105: 과세, 진열, 판매 가능, 분류 지정, 옵션 없음
묶음상품 201: 구성 101×2, 102×1, 판매가 30,000원
TD-112 | 역할: 운영자
초기: 306 품절, 307 미진열, 308 판매불가 일반상품
입력: 신규 묶음 3행 — `101,306`, `101,307`, `101,308` (묶음수량 `1,1`)
기대: 묶음상품 등록 화면에서 선택 가능한 상태는 성공, 선택 불가 상태는 "구성상품 등록 불가"</t>
  </si>
  <si>
    <t xml:space="preserve">1. [사용자] 묶음상품 등록 화면의 구성상품 선택에서 306·307·308의 선택 가능 여부를 기록합니다.
2. [사용자] TD-112 파일을 업로드합니다.
3. [사용자] 업로드 결과를 1번 기록과 비교합니다.</t>
  </si>
  <si>
    <t xml:space="preserve">1. 상태별 선택 가능 여부가 기록됩니다.
2. 업로드가 접수됩니다.
3. 화면에서 선택 가능했던 상품의 행은 성공, 선택 불가였던 상품의 행은 실패 사유 "구성상품 등록 불가"입니다.</t>
  </si>
  <si>
    <t>CHK-003: 화면 현행 선택 가능 여부 확인 후 상태별 기대 결과 확정</t>
  </si>
  <si>
    <t>TC-E-013</t>
  </si>
  <si>
    <t>같은 파일에서 신규 등록하는 상품을 구성상품으로 지정하면 미등록 상품으로 처리된다</t>
  </si>
  <si>
    <t>FR-006, POL-018</t>
  </si>
  <si>
    <t xml:space="preserve">TD-000(공통) 일반상품 101·102·103·104·105: 과세, 진열, 판매 가능, 분류 지정, 옵션 없음
묶음상품 201: 구성 101×2, 102×1, 판매가 30,000원
TD-113 | 역할: 운영자
초기: "테스트 단품 C" 미등록
입력: 1행 일반상품 신규 "테스트 단품 C", 2행 신규 묶음 — 구성상품에 1행 상품의 예상 번호 또는 상품명 입력, 묶음수량 `1,1`
기대: 1행 성공, 2행 실패</t>
  </si>
  <si>
    <t xml:space="preserve">1. [사용자] 판매상품 엑셀업로드 화면에서 TD-113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</si>
  <si>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2행의 구성상품이 업로드 시점에 등록되지 않은 상품으로 판정됩니다.
3. 1행은 성공, 2행은 실패 사유 "존재하지 않는 구성상품"입니다.</t>
  </si>
  <si>
    <t>정책서 4.9 "같은 파일 신규 상품 지원하지 않음", POL-018 "업로드 시점 미등록 상품으로 판정"</t>
  </si>
  <si>
    <t>TC-E-014</t>
  </si>
  <si>
    <t>묶음수량이 음수·소수·문자이면 형식 오류가 나고 기존 구성이 유지된다</t>
  </si>
  <si>
    <t>FR-007, POL-020, POL-024, AC-011</t>
  </si>
  <si>
    <t xml:space="preserve">TD-000(공통) 일반상품 101·102·103·104·105: 과세, 진열, 판매 가능, 분류 지정, 옵션 없음
묶음상품 201: 구성 101×2, 102×1, 판매가 30,000원
TD-114 | 역할: 운영자
초기: 묶음상품 201 구성 101×2, 102×1
입력: 201 수정 3행(파일 3개) — `101,102` / `-1,1`, `1.5,1`, `a,1`
기대: 201 구성 변경 없음</t>
  </si>
  <si>
    <t xml:space="preserve">1. [사용자] 판매상품 엑셀업로드 화면에서 TD-114 파일을 선택하고 업로드합니다.
2. [시스템] 행별 신규/수정·상품 유형을 판정하고 두 컬럼을 검증합니다.
3. [사용자] 판매상품 엑셀업로드 결과에서 해당 행의 결과를 확인합니다.
4. [사용자] 묶음상품 수정 화면에서 201을 엽니다.</t>
  </si>
  <si>
    <t xml:space="preserve">1. 업로드가 접수됩니다.
2. 첫 번째 묶음수량이 0 이상 정수가 아닌 것으로 판정됩니다.
3. 3건 모두 실패, 실패 사유 "묶음수량 형식 오류"입니다.
4. 구성 101×2, 102×1이 그대로입니다.</t>
  </si>
  <si>
    <t>TC-E-015</t>
  </si>
  <si>
    <t>두 컬럼 항목 개수가 다르면 개수 불일치 오류가 난다</t>
  </si>
  <si>
    <t>FR-007, POL-021, AC-012</t>
  </si>
  <si>
    <t xml:space="preserve">TD-000(공통) 일반상품 101·102·103·104·105: 과세, 진열, 판매 가능, 분류 지정, 옵션 없음
묶음상품 201: 구성 101×2, 102×1, 판매가 30,000원
TD-115 | 역할: 운영자
초기: 묶음상품 201
입력: 행A 201 `101,102,103` / `1,1`, 행B 신규 `101,102` / `1,1,1`
기대: 201 변경 없음, 신규 미등록</t>
  </si>
  <si>
    <t xml:space="preserve">1. [사용자] 판매상품 엑셀업로드 화면에서 TD-115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</si>
  <si>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두 행 모두 두 컬럼 항목 개수가 다른 것으로 판정됩니다.
3. 두 행 모두 실패, 실패 사유 "구성상품 상품번호와 묶음수량 개수 불일치"입니다.</t>
  </si>
  <si>
    <t>TC-E-016</t>
  </si>
  <si>
    <t>구성상품 개수가 화면 최대 개수를 넘으면 최대 개수 초과 오류가 난다(경곗값)</t>
  </si>
  <si>
    <t>FR-007, POL-022</t>
  </si>
  <si>
    <t xml:space="preserve">TD-000(공통) 일반상품 101·102·103·104·105: 과세, 진열, 판매 가능, 분류 지정, 옵션 없음
묶음상품 201: 구성 101×2, 102×1, 판매가 30,000원
TD-116 | 역할: 운영자
초기: 일반상품 N+1개 준비(N = 묶음상품 등록 화면 최대 구성상품 수)
입력: 행A 신규 묶음 구성상품 N개, 행B 신규 묶음 구성상품 N+1개(묶음수량 모두 1)
기대: 행A 성공, 행B 실패</t>
  </si>
  <si>
    <t xml:space="preserve">1. [사용자] 판매상품 엑셀업로드 화면에서 TD-116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</si>
  <si>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행A는 최대 개수 이내, 행B는 초과로 판정됩니다.
3. 행A 성공, 행B 실패 사유 "구성상품 최대 개수 초과"입니다.</t>
  </si>
  <si>
    <t>CHK-002: 묶음상품 등록 화면 최대 개수 N 현행값 확인</t>
  </si>
  <si>
    <t>TC-E-017</t>
  </si>
  <si>
    <t>묶음상품 행의 무시 컬럼에 형식 오류 값이 있어도 오류가 나지 않는다</t>
  </si>
  <si>
    <t>FR-010, POL-027</t>
  </si>
  <si>
    <t xml:space="preserve">TD-000(공통) 일반상품 101·102·103·104·105: 과세, 진열, 판매 가능, 분류 지정, 옵션 없음
묶음상품 201: 구성 101×2, 102×1, 판매가 30,000원
TD-117 | 역할: 운영자
초기: 묶음상품 201
입력: 201, 두 컬럼 `101,102` / `2,1`, 재고 수량 "abc", 판매가능여부 "X"(허용값 외)
기대: 201 성공, 재고·판매가능여부 변경 없음</t>
  </si>
  <si>
    <t xml:space="preserve">1. [사용자] 판매상품 엑셀업로드 화면에서 TD-117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</si>
  <si>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재고 수량·판매가능여부 값을 검증하지 않고 무시합니다.
3. 201 행 결과가 성공이며 재고·판매가능여부가 업로드 전과 같습니다.</t>
  </si>
  <si>
    <t>TC-E-018</t>
  </si>
  <si>
    <t>일반·묶음 행이 섞인 파일에서 일부 행이 실패하면 현행과 같은 범위로 처리되고 행별 사유가 표시된다</t>
  </si>
  <si>
    <t>REQ-005, FR-011, POL-031, AC-016</t>
  </si>
  <si>
    <t xml:space="preserve">TD-000(공통) 일반상품 101·102·103·104·105: 과세, 진열, 판매 가능, 분류 지정, 옵션 없음
묶음상품 201: 구성 101×2, 102×1, 판매가 30,000원
TD-118 | 역할: 운영자
초기: 묶음상품 201, 일반상품 104
입력: 4행 — ① 104 판매가 변경(정상) ② 201 `101,102` / `2,1` 판매가 변경(정상) ③ 201 `101` / `1,1`(개수 불일치) ④ 신규 묶음 `101,201` / `1,1`(묶음상품 지정 불가)
기대: 현행 부분 오류 처리 범위와 같음</t>
  </si>
  <si>
    <t xml:space="preserve">1. [사용자] 판매상품 엑셀업로드 화면에서 TD-118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</si>
  <si>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행별로 판정·검증합니다.
3. ③·④ 행은 각각 "구성상품 상품번호와 묶음수량 개수 불일치", "묶음상품은 구성상품으로 지정 불가"로 실패 표시되고, ①·② 행의 저장 여부가 현행 엑셀 업로드의 부분 오류 처리 범위와 같습니다.</t>
  </si>
  <si>
    <t>현행 부분 오류 처리 범위(행 단위/파일 단위)를 실행 전 확인. ②·③이 같은 201을 다루므로 결과 순서도 기록</t>
  </si>
  <si>
    <t>TC-P-001</t>
  </si>
  <si>
    <t>권한</t>
  </si>
  <si>
    <t>판매상품 엑셀업로드 권한이 있는 부운영자는 묶음상품을 업로드할 수 있다</t>
  </si>
  <si>
    <t>NFR-002, CON-002, FR-011</t>
  </si>
  <si>
    <t>UTF-8 테스트 상점, 부운영자 계정 2개 준비</t>
  </si>
  <si>
    <t xml:space="preserve">TD-000(공통) 일반상품 101·102·103·104·105: 과세, 진열, 판매 가능, 분류 지정, 옵션 없음
묶음상품 201: 구성 101×2, 102×1, 판매가 30,000원
TD-201 | 역할: 부운영자(판매상품 엑셀업로드 권한 허용)
초기: 묶음상품 201
입력: 201 `101,102` / `2,1`, 판매가 28,000
기대: 201 판매가 28,000원</t>
  </si>
  <si>
    <t xml:space="preserve">1. [사용자] TD-201 부운영자로 로그인해 판매상품 엑셀업로드 메뉴에 진입합니다.
2. [사용자] TD-201 파일을 업로드합니다.
3. [사용자] 업로드 결과를 확인합니다.</t>
  </si>
  <si>
    <t xml:space="preserve">1. 메뉴가 노출되고 화면이 열립니다.
2. 업로드가 접수됩니다.
3. 201 행 결과가 성공이고 판매가가 28,000원입니다.</t>
  </si>
  <si>
    <t>권한 체계는 현행 부운영자 권한 설정 재사용</t>
  </si>
  <si>
    <t>TC-P-002</t>
  </si>
  <si>
    <t>판매상품 엑셀업로드 권한이 없는 부운영자에게 메뉴가 노출되지 않는다</t>
  </si>
  <si>
    <t>CON-002</t>
  </si>
  <si>
    <t xml:space="preserve">TD-202 | 역할: 부운영자(판매상품 엑셀업로드 권한 미허용)
초기: 로그인 전
입력: 상품관리 메뉴 진입
기대: 메뉴 미노출 또는 현행 권한 없음 처리와 같음</t>
  </si>
  <si>
    <t xml:space="preserve">1. [사용자] TD-202 부운영자로 로그인합니다.
2. [사용자] 상품관리 &gt; 등록상품 일괄관리 메뉴를 확인합니다.</t>
  </si>
  <si>
    <t xml:space="preserve">1. 로그인됩니다.
2. 판매상품 엑셀업로드 메뉴가 현행 권한 미허용 처리와 같게 노출되지 않거나 진입이 차단됩니다.</t>
  </si>
  <si>
    <t>TC-P-003</t>
  </si>
  <si>
    <t>직접 URL &gt; 판매상품 엑셀업로드 화면 [확인 필요: URL]</t>
  </si>
  <si>
    <t>권한 없는 부운영자가 업로드 화면 URL로 직접 접근하면 차단된다</t>
  </si>
  <si>
    <t xml:space="preserve">TD-203 | 역할: 부운영자(판매상품 엑셀업로드 권한 미허용)
초기: 로그인 상태
입력: 판매상품 엑셀업로드 화면 URL 직접 입력
기대: 화면 미노출, 현행 권한 차단 안내</t>
  </si>
  <si>
    <t xml:space="preserve">1. [사용자] TD-203 부운영자로 로그인한 브라우저에 업로드 화면 URL을 직접 입력합니다.
2. [시스템] 메뉴 권한을 확인합니다.</t>
  </si>
  <si>
    <t xml:space="preserve">1. 업로드 화면이 표시되지 않습니다.
2. 현행 권한 없음 안내 또는 이동 처리가 표시되고 업로드 버튼에 접근할 수 없습니다.</t>
  </si>
  <si>
    <t>CHK-004: 화면 URL 확인</t>
  </si>
  <si>
    <t>TC-P-004</t>
  </si>
  <si>
    <t>업로드 저장 요청(API) [확인 필요: 엔드포인트]</t>
  </si>
  <si>
    <t>권한 없는 부운영자가 업로드 저장 요청을 직접 보내면 서버에서 차단된다</t>
  </si>
  <si>
    <t xml:space="preserve">TD-000(공통) 일반상품 101·102·103·104·105: 과세, 진열, 판매 가능, 분류 지정, 옵션 없음
묶음상품 201: 구성 101×2, 102×1, 판매가 30,000원
TD-204 | 역할: 부운영자(판매상품 엑셀업로드 권한 미허용)
초기: 묶음상품 201 판매가 30,000원
입력: 201 `101,103` / `1,1`, 판매가 1,000 파일을 업로드 저장 요청으로 직접 전송
기대: 요청 거부, 201 변경 없음</t>
  </si>
  <si>
    <t xml:space="preserve">1. [사용자] TD-204 부운영자 세션으로 업로드 저장 요청을 직접 전송합니다.
2. [시스템] 서버에서 메뉴 권한을 확인합니다.
3. [사용자] 운영자 계정으로 201을 확인합니다.</t>
  </si>
  <si>
    <t xml:space="preserve">1. 요청이 권한 오류로 거부됩니다(현행 권한 오류 응답과 같음).
2. 파일이 처리되지 않고 업로드 이력이 생성되지 않습니다.
3. 201 구성 101×2, 102×1, 판매가 30,000원이 그대로입니다.</t>
  </si>
  <si>
    <t>CHK-004: 저장 요청 경로 확인. 화면 숨김과 별도로 서버 차단 검증</t>
  </si>
  <si>
    <t>TC-P-005</t>
  </si>
  <si>
    <t>상품 엑셀 다운로드 권한이 없는 부운영자는 두 항목 포함 양식으로 다운로드할 수 없다</t>
  </si>
  <si>
    <t>FR-009, CON-002</t>
  </si>
  <si>
    <t xml:space="preserve">TD-205 | 역할: 부운영자(상품 엑셀 다운로드 권한 미허용)
초기: "묶음수정용" 양식 저장
입력: 상품 엑셀 다운로드 메뉴 진입
기대: 현행 권한 없음 처리와 같음</t>
  </si>
  <si>
    <t xml:space="preserve">1. [사용자] TD-205 부운영자로 로그인해 상품 엑셀 다운로드 메뉴를 확인합니다.
2. [사용자] 엑셀 양식관리 진입을 시도합니다.</t>
  </si>
  <si>
    <t xml:space="preserve">1. 메뉴가 현행 권한 미허용 처리와 같게 노출되지 않거나 진입이 차단됩니다.
2. 양식관리·다운로드가 실행되지 않습니다.</t>
  </si>
  <si>
    <t>TC-R-001</t>
  </si>
  <si>
    <t>회귀</t>
  </si>
  <si>
    <t>메이크샵 관리자 &gt; 상품관리 &gt; 등록상품 일괄관리 &gt; 판매상품 엑셀업로드 / 메이크샵 관리자 &gt; 상품관리 &gt; 등록상품 일괄관리 &gt; 판매상품 엑셀업로드 / 판매상품 엑셀업로드 결과</t>
  </si>
  <si>
    <t>기존 66개 컬럼 양식의 일반상품 신규·수정 업로드가 변경 전과 같다</t>
  </si>
  <si>
    <t>REQ-006, NFR-001, CON-002, AC-017, RISK-001</t>
  </si>
  <si>
    <t xml:space="preserve">UTF-8 테스트 상점, 운영자 계정 로그인
공통 기준 상품(TD-000) 준비 완료
변경 전 환경에서 같은 파일의 업로드 결과 기록</t>
  </si>
  <si>
    <t xml:space="preserve">TD-000(공통) 일반상품 101·102·103·104·105: 과세, 진열, 판매 가능, 분류 지정, 옵션 없음
묶음상품 201: 구성 101×2, 102×1, 판매가 30,000원
TD-301 | 역할: 운영자
초기: 일반상품 104(옵션 사용), 105
입력: 66개 컬럼 파일 — 신규 일반 1행, 104 옵션·재고 변경, 105 판매가 변경, 필수값 누락 1행
기대: 변경 전 결과와 같음</t>
  </si>
  <si>
    <t xml:space="preserve">1. [사용자] 판매상품 엑셀업로드 화면에서 TD-301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</si>
  <si>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모든 행이 일반상품으로 판정되고 두 컬럼 관련 검증이 실행되지 않습니다.
3. 행별 성공·실패와 실패 사유, 저장된 옵션·재고·판매가가 변경 전 기록과 같습니다.</t>
  </si>
  <si>
    <t>선정 근거: 공용 업로드 처리에 묶음 분기가 추가됨(RISK-001)</t>
  </si>
  <si>
    <t>TC-R-002</t>
  </si>
  <si>
    <t>68개 컬럼 양식의 일반상품 행은 옵션 필수 검증 등 기존 검증이 유지된다</t>
  </si>
  <si>
    <t>REQ-006, FR-010, POL-028, POL-030</t>
  </si>
  <si>
    <t xml:space="preserve">TD-302 | 역할: 운영자
초기: 상품명 "테스트 단품 D" 미등록
입력: 신규 일반상품 행, 두 컬럼 공란, 옵션 사용 여부 공란(현행 필수값)
기대: 현행과 같은 필수값 오류</t>
  </si>
  <si>
    <t xml:space="preserve">1. [사용자] 판매상품 엑셀업로드 화면에서 TD-302 파일을 선택하고 업로드합니다.
2. [시스템] 행별 신규/수정·상품 유형을 판정하고 두 컬럼을 검증합니다.
3. [사용자] 판매상품 엑셀업로드 결과에서 해당 행의 결과를 확인합니다.</t>
  </si>
  <si>
    <t xml:space="preserve">1. 업로드가 접수됩니다.
2. 해당 행이 일반상품으로 판정되고 옵션 필수 검증이 실행됩니다.
3. 현행과 같은 필수값 오류로 실패하고 상품이 등록되지 않습니다.</t>
  </si>
  <si>
    <t>선정 근거: 묶음 행에서만 옵션 필수 검증을 생략하므로 일반 행까지 생략되는 결함 방지</t>
  </si>
  <si>
    <t>TC-R-003</t>
  </si>
  <si>
    <t>두 항목을 선택하지 않은 기존 양식의 다운로드 결과가 변경 전과 같다</t>
  </si>
  <si>
    <t>REQ-006, FR-009, NFR-001</t>
  </si>
  <si>
    <t xml:space="preserve">UTF-8 테스트 상점, 운영자 계정 로그인
공통 기준 상품(TD-000) 준비 완료
변경 전 저장한 기존 양식으로 다운로드한 파일 보관</t>
  </si>
  <si>
    <t xml:space="preserve">TD-000(공통) 일반상품 101·102·103·104·105: 과세, 진열, 판매 가능, 분류 지정, 옵션 없음
묶음상품 201: 구성 101×2, 102×1, 판매가 30,000원
TD-303 | 역할: 운영자
초기: 기존 저장 양식(두 항목 미선택)
입력: 일반상품 101·104, 묶음상품 201 다운로드
기대: 열 구성·값이 변경 전 파일과 같음</t>
  </si>
  <si>
    <t xml:space="preserve">1. [사용자] 기존 양식으로 세 상품을 다운로드합니다.
2. [사용자] 변경 전 파일과 열 구성·값을 비교합니다.</t>
  </si>
  <si>
    <t xml:space="preserve">1. 엑셀 파일이 다운로드됩니다.
2. "묶음 구성상품"·"묶음수량" 열이 추가되지 않았고 기존 열 순서·값이 변경 전 파일과 같습니다.</t>
  </si>
  <si>
    <t>선정 근거: 엑셀 양식관리 선택 항목 추가(공유 화면)</t>
  </si>
  <si>
    <t>TC-R-004</t>
  </si>
  <si>
    <t>엑셀로 수정한 묶음상품을 묶음상품 수정 화면에서 열람·저장할 수 있다</t>
  </si>
  <si>
    <t>REQ-001, FR-008, POL-023</t>
  </si>
  <si>
    <t xml:space="preserve">TD-000(공통) 일반상품 101·102·103·104·105: 과세, 진열, 판매 가능, 분류 지정, 옵션 없음
묶음상품 201: 구성 101×2, 102×1, 판매가 30,000원
TD-304 | 역할: 운영자
초기: TC-N-003 실행 후 201(101×1, 103×1)
입력: 묶음상품 수정 화면에서 103 수량을 2로 바꿔 저장
기대: 화면 저장 성공, 이후 다운로드에 `101,103` / `1,2`</t>
  </si>
  <si>
    <t xml:space="preserve">1. [사용자] 묶음상품 수정 화면에서 201을 엽니다.
2. [사용자] 103 수량을 2로 바꿔 저장합니다.
3. [사용자] 두 항목 포함 양식으로 201을 다운로드합니다.</t>
  </si>
  <si>
    <t xml:space="preserve">1. 엑셀로 저장한 구성(101×1, 103×1)이 화면에 표시됩니다.
2. 저장이 완료되고 오류가 표시되지 않습니다.
3. `101,103` / `1,2`가 출력됩니다.</t>
  </si>
  <si>
    <t>선정 근거: 엑셀과 화면이 같은 구성정보를 공유(연관 데이터)</t>
  </si>
  <si>
    <t>TC-R-005</t>
  </si>
  <si>
    <t>쇼핑몰(PC) &gt; 상품 상세 / 장바구니</t>
  </si>
  <si>
    <t>엑셀로 등록·수정한 묶음상품의 판매가와 구성이 쇼핑몰에 반영된다</t>
  </si>
  <si>
    <t>REQ-001, FR-010, POL-029, AC-015</t>
  </si>
  <si>
    <t xml:space="preserve">UTF-8 테스트 상점, 운영자 계정 로그인
공통 기준 상품(TD-000) 준비 완료
TC-N-002 실행 후(201 판매가 27,000원)</t>
  </si>
  <si>
    <t xml:space="preserve">TD-000(공통) 일반상품 101·102·103·104·105: 과세, 진열, 판매 가능, 분류 지정, 옵션 없음
묶음상품 201: 구성 101×2, 102×1, 판매가 30,000원
TD-305 | 역할: 쇼핑몰 테스트 회원(실제 개인정보 미사용)
초기: 201 판매가 27,000원, 진열
입력: 201 상품 상세 조회, 수량 1로 장바구니 담기
기대: 27,000원 표시·적용</t>
  </si>
  <si>
    <t xml:space="preserve">1. [사용자] 쇼핑몰에서 201 상품 상세를 엽니다.
2. [사용자] 수량 1로 장바구니에 담습니다.</t>
  </si>
  <si>
    <t xml:space="preserve">1. 판매가 27,000원과 구성상품(101×2, 102×1)이 묶음상품 화면 등록 상품과 같은 방식으로 표시됩니다.
2. 장바구니 상품 금액이 27,000원입니다.</t>
  </si>
  <si>
    <t>선정 근거: 엑셀 판매가가 실제 판매가로 저장·반영돼야 함(후속 처리). 결제·주문 완료까지는 제외</t>
  </si>
  <si>
    <t>TC-R-006</t>
  </si>
  <si>
    <t>메이크샵 관리자 &gt; 상품관리 &gt; 등록상품 일괄관리 &gt; 판매상품 엑셀업로드 / 판매상품 엑셀업로드 결과 / [확인 필요: 업로드 이력 메뉴]</t>
  </si>
  <si>
    <t>묶음상품 행 처리 결과가 현행 업로드 이력에 같은 방식으로 남는다</t>
  </si>
  <si>
    <t>FR-011, POL-031, CON-002</t>
  </si>
  <si>
    <t xml:space="preserve">TD-000(공통) 일반상품 101·102·103·104·105: 과세, 진열, 판매 가능, 분류 지정, 옵션 없음
묶음상품 201: 구성 101×2, 102×1, 판매가 30,000원
TD-306 | 역할: 운영자
초기: 묶음상품 201
입력: TC-E-018의 4행 파일
기대: 일반 행과 같은 형식으로 묶음 행 이력 기록</t>
  </si>
  <si>
    <t xml:space="preserve">1. [사용자] TD-306 파일을 업로드합니다.
2. [사용자] 현행 업로드 이력에서 해당 업로드를 엽니다.</t>
  </si>
  <si>
    <t xml:space="preserve">1. 업로드가 접수됩니다.
2. 업로드 일시·처리 건수·행별 결과가 일반상품 행과 같은 형식으로 기록되고 묶음 행의 실패 사유가 남습니다.</t>
  </si>
  <si>
    <t>선정 근거: 운영·CS 확인 경로(CS 가이드). 이력 메뉴 경로 확인 필요</t>
  </si>
  <si>
    <t>TC-R-007</t>
  </si>
  <si>
    <t>메이크샵 관리자 &gt; [확인 필요: 관련상품·추가구성상품 묶음 설정 메뉴]</t>
  </si>
  <si>
    <t>관련상품·추가구성상품 묶음 설정(관련상품 설정 과제) 기능이 변경 전과 같다</t>
  </si>
  <si>
    <t>REQ-006</t>
  </si>
  <si>
    <t xml:space="preserve">TD-000(공통) 일반상품 101·102·103·104·105: 과세, 진열, 판매 가능, 분류 지정, 옵션 없음
묶음상품 201: 구성 101×2, 102×1, 판매가 30,000원
TD-307 | 역할: 운영자
초기: 일반상품 104에 관련상품 묶음 설정 1건
입력: 기존 설정 조회·수정 저장
기대: 변경 전과 같은 동작</t>
  </si>
  <si>
    <t xml:space="preserve">1. [사용자] 104의 관련상품·추가구성상품 묶음 설정을 엽니다.
2. [사용자] 설정 1건을 수정해 저장합니다.</t>
  </si>
  <si>
    <t xml:space="preserve">1. 기존 설정이 그대로 표시됩니다.
2. 저장이 완료되고 104가 묶음상품으로 바뀌지 않습니다.</t>
  </si>
  <si>
    <t>CHK-010: 같은 "묶음" 용어 기능으로 데이터 공유 여부 확인 후 제외 가능</t>
  </si>
  <si>
    <t>1. 차단 및 확인 사항</t>
  </si>
  <si>
    <t>항목 ID</t>
  </si>
  <si>
    <t>구분</t>
  </si>
  <si>
    <t>내용</t>
  </si>
  <si>
    <t>영향 TC</t>
  </si>
  <si>
    <t>확인 주체</t>
  </si>
  <si>
    <t>상태</t>
  </si>
  <si>
    <t>결정·답변</t>
  </si>
  <si>
    <t>OPEN-001</t>
  </si>
  <si>
    <t>일정</t>
  </si>
  <si>
    <t>통합 엑셀 PJ(통합 엑셀 프로젝트) 편입 시점과 범위. 편입 시 파일 형식·양식이 바뀌면 업로드 TC의 파일 준비 절차를 다시 검토합니다. 판정·검증·저장 규칙은 유지됩니다.</t>
  </si>
  <si>
    <t>업로드 TC 전체</t>
  </si>
  <si>
    <t>기획·PMO</t>
  </si>
  <si>
    <t>협의 중</t>
  </si>
  <si>
    <t>CHK-001</t>
  </si>
  <si>
    <t>근거</t>
  </si>
  <si>
    <t>기존 회귀 TC·결함 이력이 제공되지 않았습니다. 회귀 TC는 영향 분석(RISK-001, 요구사항 정의서 영향 범위)으로 선정했습니다.</t>
  </si>
  <si>
    <t>TC-R-001~007</t>
  </si>
  <si>
    <t>QA</t>
  </si>
  <si>
    <t>확인 필요</t>
  </si>
  <si>
    <t>CHK-002</t>
  </si>
  <si>
    <t>개발 확인</t>
  </si>
  <si>
    <t>묶음상품 등록 화면의 구성상품 최대 개수 현행값</t>
  </si>
  <si>
    <t>개발</t>
  </si>
  <si>
    <t>CHK-003</t>
  </si>
  <si>
    <t>묶음상품 등록 화면에서 품절·미진열·판매불가 상품의 구성상품 선택 가능 여부</t>
  </si>
  <si>
    <t>CHK-004</t>
  </si>
  <si>
    <t>판매상품 엑셀업로드 화면 URL과 업로드 저장 요청 경로</t>
  </si>
  <si>
    <t>TC-P-003, TC-P-004</t>
  </si>
  <si>
    <t>CHK-005</t>
  </si>
  <si>
    <t>기획 확인</t>
  </si>
  <si>
    <t>상품 엑셀 다운로드·엑셀 양식관리의 상위 메뉴 경로, 묶음상품 수정 화면 메뉴 경로, 업로드 이력 메뉴 경로</t>
  </si>
  <si>
    <t>TC-N-002·006·007·008, TC-R-003·006, TC-P-005 등</t>
  </si>
  <si>
    <t>기획</t>
  </si>
  <si>
    <t>현행 관리자 메뉴 확인 후 메뉴 경로 열 치환</t>
  </si>
  <si>
    <t>CHK-006</t>
  </si>
  <si>
    <t>구현 후 확인</t>
  </si>
  <si>
    <t>실패 사유 실제 노출 문구와 업로드 결과 화면 표시 형식. TC에는 정책서 4.9의 실패 사유명을 기준으로 적었습니다.</t>
  </si>
  <si>
    <t>예외 TC 전체</t>
  </si>
  <si>
    <t>개발·QA</t>
  </si>
  <si>
    <t>CHK-007</t>
  </si>
  <si>
    <t>현행 부분 오류 처리 범위(행 단위 저장/파일 단위 롤백)</t>
  </si>
  <si>
    <t>TC-E-018, TC-R-006</t>
  </si>
  <si>
    <t>CHK-008</t>
  </si>
  <si>
    <t>기존 콤마 구분 컬럼의 공백 처리 규칙</t>
  </si>
  <si>
    <t>CHK-009</t>
  </si>
  <si>
    <t>[사전 TC 가정]</t>
  </si>
  <si>
    <t>TC의 상품번호(101~105, 201, 301~308, 401, 999999)는 가정값입니다. 테스트 상점에 해당 조건의 상품을 만든 뒤 실제 번호로 바꿔 실행합니다. 공급자·하이브리드/DIY·정기배송 전용 상품 준비 가능 여부도 확인합니다.</t>
  </si>
  <si>
    <t>전체</t>
  </si>
  <si>
    <t>CHK-010</t>
  </si>
  <si>
    <t>관련상품·추가구성상품 묶음 설정(관련상품 설정 과제)과 묶음상품 데이터 공유 여부. 공유하지 않으면 TC-R-007은 N/A 처리합니다.</t>
  </si>
  <si>
    <t>2. 기준 문서 및 근거</t>
  </si>
  <si>
    <t>문서·링크·파일</t>
  </si>
  <si>
    <t>버전·확인일</t>
  </si>
  <si>
    <t>적용 내용</t>
  </si>
  <si>
    <t>사양 정의서</t>
  </si>
  <si>
    <t>사내 문서 [원 요청 이슈] 묶음상품 엑셀 등록·수정</t>
  </si>
  <si>
    <t>v6 · 2026-10-14</t>
  </si>
  <si>
    <t>REQ·FR·POL·CON·NFR·AC ID, 정책 원장</t>
  </si>
  <si>
    <t>로컬: 08_Jira/00_사양정의서_원 요청 이슈.md</t>
  </si>
  <si>
    <t>요구사항 정의서</t>
  </si>
  <si>
    <t>사내 문서</t>
  </si>
  <si>
    <t>2026-10-14</t>
  </si>
  <si>
    <t>사용 시나리오, 영향 범위</t>
  </si>
  <si>
    <t>정책서</t>
  </si>
  <si>
    <t>사내 문서</t>
  </si>
  <si>
    <t>v5 · 2026-10-14</t>
  </si>
  <si>
    <t>실패 사유명(4.9), 처리 흐름(4.8), 양식관리(4.7)</t>
  </si>
  <si>
    <t>사용자 직접 수정본 기준</t>
  </si>
  <si>
    <t>CS 운영·응대 가이드</t>
  </si>
  <si>
    <t>사내 문서</t>
  </si>
  <si>
    <t>초안 · 2026-10-14</t>
  </si>
  <si>
    <t>운영 확인 경로(업로드 결과·이력)</t>
  </si>
  <si>
    <t>요구사항·AS-IS 분석서</t>
  </si>
  <si>
    <t>사내 문서</t>
  </si>
  <si>
    <t>2026-10-12</t>
  </si>
  <si>
    <t>영향 기능, 회귀 대상 선정</t>
  </si>
  <si>
    <t>상품 등록·수정 기능 사양서</t>
  </si>
  <si>
    <t>사내 문서 2.3절 묶음상품 구성 선택</t>
  </si>
  <si>
    <t>AI 초안·소스 확인</t>
  </si>
  <si>
    <t>구성상품 제외 유형(TC-E-010·011)</t>
  </si>
  <si>
    <t>신규 엑셀 양식</t>
  </si>
  <si>
    <t>assets/묶음상품_판매상품_엑셀업로드_양식.xml</t>
  </si>
  <si>
    <t>68개 컬럼, 예시 행</t>
  </si>
  <si>
    <t>필드 키는 제안값</t>
  </si>
  <si>
    <t>화면 설계서</t>
  </si>
  <si>
    <t>해당 없음</t>
  </si>
  <si>
    <t>—</t>
  </si>
  <si>
    <t>기존 화면 재사용, WF ID 없음</t>
  </si>
  <si>
    <t>3. 회귀 대상 선정·제외</t>
  </si>
  <si>
    <t>대상</t>
  </si>
  <si>
    <t>사유</t>
  </si>
  <si>
    <t>포함</t>
  </si>
  <si>
    <t>일반상품 66개 컬럼 업로드(TC-R-001)</t>
  </si>
  <si>
    <t>공용 업로드 처리에 묶음 분기 추가 — 직접 변경</t>
  </si>
  <si>
    <t>68개 컬럼 양식 일반상품 행 검증(TC-R-002)</t>
  </si>
  <si>
    <t>묶음 행 옵션 검증 생략 로직의 오적용 위험</t>
  </si>
  <si>
    <t>기존 양식 다운로드(TC-R-003)</t>
  </si>
  <si>
    <t>엑셀 양식관리 선택 항목 추가 — 공유 화면</t>
  </si>
  <si>
    <t>묶음상품 수정 화면(TC-R-004)</t>
  </si>
  <si>
    <t>같은 구성정보 데이터 공유 — 연관 데이터</t>
  </si>
  <si>
    <t>쇼핑몰 상품 상세·장바구니 판매가(TC-R-005)</t>
  </si>
  <si>
    <t>엑셀 판매가가 실제 판매가로 반영 — 후속 처리</t>
  </si>
  <si>
    <t>업로드 이력(TC-R-006)</t>
  </si>
  <si>
    <t>운영·CS 확인 경로</t>
  </si>
  <si>
    <t>조건부</t>
  </si>
  <si>
    <t>관련상품·추가구성상품 묶음 설정(TC-R-007)</t>
  </si>
  <si>
    <t>데이터 공유 여부 미확인(CHK-010)</t>
  </si>
  <si>
    <t>제외</t>
  </si>
  <si>
    <t>주문·결제·정산·재고 차감</t>
  </si>
  <si>
    <t>이번 변경은 묶음상품 저장 경로만 바꾸며, 저장 후 주문 처리 로직은 변경하지 않음</t>
  </si>
  <si>
    <t>다른 일괄관리 메뉴(상품 세부 정보 일괄관리 등)</t>
  </si>
  <si>
    <t>변경 범위 밖, 영향 근거 없음</t>
  </si>
  <si>
    <t>부하·대량 건수 처리</t>
  </si>
  <si>
    <t>업로드 건수·동시 처리 제한 현행 유지(NFR-002), 별도 성능 요구 없음</t>
  </si>
  <si>
    <t>4. 필수 점검</t>
  </si>
  <si>
    <t>점검 항목</t>
  </si>
  <si>
    <t>작성 여부</t>
  </si>
  <si>
    <t>미확인·보완 내용</t>
  </si>
  <si>
    <t>정상 TC</t>
  </si>
  <si>
    <t>완료</t>
  </si>
  <si>
    <t>AC-001·002·006·010·013·014·015 연결</t>
  </si>
  <si>
    <t>예외 TC</t>
  </si>
  <si>
    <t>POL-003·008·009·010·013~022·027·031 연결</t>
  </si>
  <si>
    <t>권한 TC</t>
  </si>
  <si>
    <t>메뉴·직접 URL·저장 요청 분리. URL·API 경로는 CHK-004</t>
  </si>
  <si>
    <t>회귀 TC</t>
  </si>
  <si>
    <t>선정 근거·제외 영역 별도 표</t>
  </si>
  <si>
    <t>메뉴 경로·진입점</t>
  </si>
  <si>
    <t>부분</t>
  </si>
  <si>
    <t>다운로드·묶음상품 수정·이력 상위 메뉴 [확인 필요](CHK-005)</t>
  </si>
  <si>
    <t>실행 가능한 테스트 데이터</t>
  </si>
  <si>
    <t>상품번호 가정값(CHK-009)</t>
  </si>
  <si>
    <t>절차·기대 결과 번호 대응</t>
  </si>
  <si>
    <t>스크립트로 개수 일치 검증</t>
  </si>
  <si>
    <t>구체적인 기대 결과</t>
  </si>
  <si>
    <t>실패 사유 실제 문구는 CHK-006</t>
  </si>
  <si>
    <t>우선순위와 근거</t>
  </si>
  <si>
    <t>P0: 유형 변경 차단·필수 누락 시 기존 구성 유지·가격 수정 핵심 흐름·66컬럼 회귀·서버 권한 차단</t>
  </si>
  <si>
    <t>요구사항 추적성</t>
  </si>
  <si>
    <t>모든 TC에 REQ/FR/POL/AC/CON 연결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</si>
</sst>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13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8A4B00"/>
      </font>
      <fill>
        <patternFill patternType="solid">
          <bgColor rgb="FFFFE0B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95959"/>
      </font>
      <fill>
        <patternFill patternType="solid">
          <bgColor rgb="FFEDEDED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8A4B00"/>
      </font>
      <fill>
        <patternFill patternType="solid">
          <bgColor rgb="FFFFE0B2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595959"/>
      </font>
      <fill>
        <patternFill patternType="solid">
          <bgColor rgb="FFEDEDED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404040"/>
      </font>
      <fill>
        <patternFill patternType="solid"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>
      <pane xSplit="5" ySplit="5" topLeftCell="F6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7" customWidth="1"/>
    <col min="3" max="3" width="8" customWidth="1"/>
    <col min="4" max="4" width="34" customWidth="1"/>
    <col min="5" max="5" width="36" customWidth="1"/>
    <col min="6" max="6" width="26" customWidth="1"/>
    <col min="7" max="7" width="30" customWidth="1"/>
    <col min="8" max="9" width="52" customWidth="1"/>
    <col min="10" max="10" width="56" customWidth="1"/>
    <col min="11" max="11" width="13" customWidth="1"/>
    <col min="12" max="12" width="10" customWidth="1"/>
    <col min="13" max="13" width="24" customWidth="1"/>
    <col min="14" max="14" width="10" customWidth="1"/>
    <col min="15" max="15" width="11" customWidth="1"/>
    <col min="16" max="16" width="32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>
        <f>COUNTA(A6:A47)</f>
        <v>42</v>
      </c>
      <c r="B3" s="3">
        <f>COUNTIF(C6:C47,"P0")</f>
        <v>6</v>
      </c>
      <c r="C3" s="3">
        <f>COUNTIF(K6:K47,"기획 확인 필요")</f>
        <v>0</v>
      </c>
      <c r="D3" s="3">
        <f>COUNTIF(K6:K47,"개발 확인 필요")</f>
        <v>6</v>
      </c>
      <c r="E3" s="3">
        <f>COUNTIF(K6:K47,"구현 후 보완")</f>
        <v>3</v>
      </c>
      <c r="F3" s="3">
        <f>COUNTIF(L6:L47,"미실행")</f>
        <v>42</v>
      </c>
      <c r="G3" s="3">
        <f>COUNTIF(L6:L47,"통과")</f>
        <v>0</v>
      </c>
      <c r="H3" s="3">
        <f>COUNTIF(L6:L47,"실패")</f>
        <v>0</v>
      </c>
      <c r="I3" s="3">
        <f>COUNTIF(L6:L47,"보류")</f>
        <v>0</v>
      </c>
    </row>
    <row r="5" ht="22" customHeight="1" spans="1:16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4" t="s">
        <v>21</v>
      </c>
      <c r="M5" s="4" t="s">
        <v>22</v>
      </c>
      <c r="N5" s="4" t="s">
        <v>23</v>
      </c>
      <c r="O5" s="4" t="s">
        <v>24</v>
      </c>
      <c r="P5" s="4" t="s">
        <v>25</v>
      </c>
    </row>
    <row r="6" ht="180" customHeight="1" spans="1:16" x14ac:dyDescent="0.25">
      <c r="A6" s="5" t="s">
        <v>26</v>
      </c>
      <c r="B6" s="5" t="s">
        <v>27</v>
      </c>
      <c r="C6" s="5" t="s">
        <v>28</v>
      </c>
      <c r="D6" s="6" t="s">
        <v>29</v>
      </c>
      <c r="E6" s="6" t="s">
        <v>30</v>
      </c>
      <c r="F6" s="6" t="s">
        <v>31</v>
      </c>
      <c r="G6" s="6" t="s">
        <v>32</v>
      </c>
      <c r="H6" s="6" t="s">
        <v>33</v>
      </c>
      <c r="I6" s="6" t="s">
        <v>34</v>
      </c>
      <c r="J6" s="6" t="s">
        <v>35</v>
      </c>
      <c r="K6" s="5" t="s">
        <v>36</v>
      </c>
      <c r="L6" s="5" t="s">
        <v>6</v>
      </c>
      <c r="M6" s="6" t="s">
        <v>37</v>
      </c>
      <c r="N6" s="6" t="s">
        <v>37</v>
      </c>
      <c r="O6" s="6" t="s">
        <v>37</v>
      </c>
      <c r="P6" s="6" t="s">
        <v>37</v>
      </c>
    </row>
    <row r="7" ht="195" customHeight="1" spans="1:16" x14ac:dyDescent="0.25">
      <c r="A7" s="5" t="s">
        <v>38</v>
      </c>
      <c r="B7" s="5" t="s">
        <v>27</v>
      </c>
      <c r="C7" s="5" t="s">
        <v>2</v>
      </c>
      <c r="D7" s="6" t="s">
        <v>39</v>
      </c>
      <c r="E7" s="6" t="s">
        <v>40</v>
      </c>
      <c r="F7" s="6" t="s">
        <v>41</v>
      </c>
      <c r="G7" s="6" t="s">
        <v>42</v>
      </c>
      <c r="H7" s="6" t="s">
        <v>43</v>
      </c>
      <c r="I7" s="6" t="s">
        <v>44</v>
      </c>
      <c r="J7" s="6" t="s">
        <v>45</v>
      </c>
      <c r="K7" s="5" t="s">
        <v>36</v>
      </c>
      <c r="L7" s="5" t="s">
        <v>6</v>
      </c>
      <c r="M7" s="6" t="s">
        <v>37</v>
      </c>
      <c r="N7" s="6" t="s">
        <v>37</v>
      </c>
      <c r="O7" s="6" t="s">
        <v>37</v>
      </c>
      <c r="P7" s="6" t="s">
        <v>46</v>
      </c>
    </row>
    <row r="8" ht="150" customHeight="1" spans="1:16" x14ac:dyDescent="0.25">
      <c r="A8" s="5" t="s">
        <v>47</v>
      </c>
      <c r="B8" s="5" t="s">
        <v>27</v>
      </c>
      <c r="C8" s="5" t="s">
        <v>28</v>
      </c>
      <c r="D8" s="6" t="s">
        <v>48</v>
      </c>
      <c r="E8" s="6" t="s">
        <v>49</v>
      </c>
      <c r="F8" s="6" t="s">
        <v>50</v>
      </c>
      <c r="G8" s="6" t="s">
        <v>32</v>
      </c>
      <c r="H8" s="6" t="s">
        <v>51</v>
      </c>
      <c r="I8" s="6" t="s">
        <v>52</v>
      </c>
      <c r="J8" s="6" t="s">
        <v>53</v>
      </c>
      <c r="K8" s="5" t="s">
        <v>36</v>
      </c>
      <c r="L8" s="5" t="s">
        <v>6</v>
      </c>
      <c r="M8" s="6" t="s">
        <v>37</v>
      </c>
      <c r="N8" s="6" t="s">
        <v>37</v>
      </c>
      <c r="O8" s="6" t="s">
        <v>37</v>
      </c>
      <c r="P8" s="6" t="s">
        <v>37</v>
      </c>
    </row>
    <row r="9" ht="150" customHeight="1" spans="1:16" x14ac:dyDescent="0.25">
      <c r="A9" s="5" t="s">
        <v>54</v>
      </c>
      <c r="B9" s="5" t="s">
        <v>27</v>
      </c>
      <c r="C9" s="5" t="s">
        <v>55</v>
      </c>
      <c r="D9" s="6" t="s">
        <v>56</v>
      </c>
      <c r="E9" s="6" t="s">
        <v>57</v>
      </c>
      <c r="F9" s="6" t="s">
        <v>58</v>
      </c>
      <c r="G9" s="6" t="s">
        <v>59</v>
      </c>
      <c r="H9" s="6" t="s">
        <v>60</v>
      </c>
      <c r="I9" s="6" t="s">
        <v>61</v>
      </c>
      <c r="J9" s="6" t="s">
        <v>62</v>
      </c>
      <c r="K9" s="5" t="s">
        <v>36</v>
      </c>
      <c r="L9" s="5" t="s">
        <v>6</v>
      </c>
      <c r="M9" s="6" t="s">
        <v>37</v>
      </c>
      <c r="N9" s="6" t="s">
        <v>37</v>
      </c>
      <c r="O9" s="6" t="s">
        <v>37</v>
      </c>
      <c r="P9" s="6" t="s">
        <v>37</v>
      </c>
    </row>
    <row r="10" ht="165" customHeight="1" spans="1:16" x14ac:dyDescent="0.25">
      <c r="A10" s="5" t="s">
        <v>63</v>
      </c>
      <c r="B10" s="5" t="s">
        <v>27</v>
      </c>
      <c r="C10" s="5" t="s">
        <v>55</v>
      </c>
      <c r="D10" s="6" t="s">
        <v>48</v>
      </c>
      <c r="E10" s="6" t="s">
        <v>64</v>
      </c>
      <c r="F10" s="6" t="s">
        <v>65</v>
      </c>
      <c r="G10" s="6" t="s">
        <v>32</v>
      </c>
      <c r="H10" s="6" t="s">
        <v>66</v>
      </c>
      <c r="I10" s="6" t="s">
        <v>67</v>
      </c>
      <c r="J10" s="6" t="s">
        <v>68</v>
      </c>
      <c r="K10" s="5" t="s">
        <v>36</v>
      </c>
      <c r="L10" s="5" t="s">
        <v>6</v>
      </c>
      <c r="M10" s="6" t="s">
        <v>37</v>
      </c>
      <c r="N10" s="6" t="s">
        <v>37</v>
      </c>
      <c r="O10" s="6" t="s">
        <v>37</v>
      </c>
      <c r="P10" s="6" t="s">
        <v>37</v>
      </c>
    </row>
    <row r="11" ht="90" customHeight="1" spans="1:16" x14ac:dyDescent="0.25">
      <c r="A11" s="5" t="s">
        <v>69</v>
      </c>
      <c r="B11" s="5" t="s">
        <v>27</v>
      </c>
      <c r="C11" s="5" t="s">
        <v>28</v>
      </c>
      <c r="D11" s="6" t="s">
        <v>70</v>
      </c>
      <c r="E11" s="6" t="s">
        <v>71</v>
      </c>
      <c r="F11" s="6" t="s">
        <v>72</v>
      </c>
      <c r="G11" s="6" t="s">
        <v>73</v>
      </c>
      <c r="H11" s="6" t="s">
        <v>74</v>
      </c>
      <c r="I11" s="6" t="s">
        <v>75</v>
      </c>
      <c r="J11" s="6" t="s">
        <v>76</v>
      </c>
      <c r="K11" s="5" t="s">
        <v>36</v>
      </c>
      <c r="L11" s="5" t="s">
        <v>6</v>
      </c>
      <c r="M11" s="6" t="s">
        <v>37</v>
      </c>
      <c r="N11" s="6" t="s">
        <v>37</v>
      </c>
      <c r="O11" s="6" t="s">
        <v>37</v>
      </c>
      <c r="P11" s="6" t="s">
        <v>37</v>
      </c>
    </row>
    <row r="12" ht="165" customHeight="1" spans="1:16" x14ac:dyDescent="0.25">
      <c r="A12" s="5" t="s">
        <v>77</v>
      </c>
      <c r="B12" s="5" t="s">
        <v>27</v>
      </c>
      <c r="C12" s="5" t="s">
        <v>28</v>
      </c>
      <c r="D12" s="6" t="s">
        <v>70</v>
      </c>
      <c r="E12" s="6" t="s">
        <v>78</v>
      </c>
      <c r="F12" s="6" t="s">
        <v>79</v>
      </c>
      <c r="G12" s="6" t="s">
        <v>80</v>
      </c>
      <c r="H12" s="6" t="s">
        <v>81</v>
      </c>
      <c r="I12" s="6" t="s">
        <v>82</v>
      </c>
      <c r="J12" s="6" t="s">
        <v>83</v>
      </c>
      <c r="K12" s="5" t="s">
        <v>36</v>
      </c>
      <c r="L12" s="5" t="s">
        <v>6</v>
      </c>
      <c r="M12" s="6" t="s">
        <v>37</v>
      </c>
      <c r="N12" s="6" t="s">
        <v>37</v>
      </c>
      <c r="O12" s="6" t="s">
        <v>37</v>
      </c>
      <c r="P12" s="6" t="s">
        <v>37</v>
      </c>
    </row>
    <row r="13" ht="165" customHeight="1" spans="1:16" x14ac:dyDescent="0.25">
      <c r="A13" s="5" t="s">
        <v>84</v>
      </c>
      <c r="B13" s="5" t="s">
        <v>27</v>
      </c>
      <c r="C13" s="5" t="s">
        <v>28</v>
      </c>
      <c r="D13" s="6" t="s">
        <v>85</v>
      </c>
      <c r="E13" s="6" t="s">
        <v>86</v>
      </c>
      <c r="F13" s="6" t="s">
        <v>87</v>
      </c>
      <c r="G13" s="6" t="s">
        <v>88</v>
      </c>
      <c r="H13" s="6" t="s">
        <v>89</v>
      </c>
      <c r="I13" s="6" t="s">
        <v>90</v>
      </c>
      <c r="J13" s="6" t="s">
        <v>91</v>
      </c>
      <c r="K13" s="5" t="s">
        <v>36</v>
      </c>
      <c r="L13" s="5" t="s">
        <v>6</v>
      </c>
      <c r="M13" s="6" t="s">
        <v>37</v>
      </c>
      <c r="N13" s="6" t="s">
        <v>37</v>
      </c>
      <c r="O13" s="6" t="s">
        <v>37</v>
      </c>
      <c r="P13" s="6" t="s">
        <v>37</v>
      </c>
    </row>
    <row r="14" ht="90" customHeight="1" spans="1:16" x14ac:dyDescent="0.25">
      <c r="A14" s="5" t="s">
        <v>92</v>
      </c>
      <c r="B14" s="5" t="s">
        <v>27</v>
      </c>
      <c r="C14" s="5" t="s">
        <v>28</v>
      </c>
      <c r="D14" s="6" t="s">
        <v>93</v>
      </c>
      <c r="E14" s="6" t="s">
        <v>94</v>
      </c>
      <c r="F14" s="6" t="s">
        <v>95</v>
      </c>
      <c r="G14" s="6" t="s">
        <v>32</v>
      </c>
      <c r="H14" s="6" t="s">
        <v>96</v>
      </c>
      <c r="I14" s="6" t="s">
        <v>97</v>
      </c>
      <c r="J14" s="6" t="s">
        <v>98</v>
      </c>
      <c r="K14" s="5" t="s">
        <v>36</v>
      </c>
      <c r="L14" s="5" t="s">
        <v>6</v>
      </c>
      <c r="M14" s="6" t="s">
        <v>37</v>
      </c>
      <c r="N14" s="6" t="s">
        <v>37</v>
      </c>
      <c r="O14" s="6" t="s">
        <v>37</v>
      </c>
      <c r="P14" s="6" t="s">
        <v>37</v>
      </c>
    </row>
    <row r="15" ht="75" customHeight="1" spans="1:16" x14ac:dyDescent="0.25">
      <c r="A15" s="5" t="s">
        <v>99</v>
      </c>
      <c r="B15" s="5" t="s">
        <v>27</v>
      </c>
      <c r="C15" s="5" t="s">
        <v>55</v>
      </c>
      <c r="D15" s="6" t="s">
        <v>93</v>
      </c>
      <c r="E15" s="6" t="s">
        <v>100</v>
      </c>
      <c r="F15" s="6" t="s">
        <v>101</v>
      </c>
      <c r="G15" s="6" t="s">
        <v>73</v>
      </c>
      <c r="H15" s="6" t="s">
        <v>102</v>
      </c>
      <c r="I15" s="6" t="s">
        <v>103</v>
      </c>
      <c r="J15" s="6" t="s">
        <v>104</v>
      </c>
      <c r="K15" s="5" t="s">
        <v>5</v>
      </c>
      <c r="L15" s="5" t="s">
        <v>6</v>
      </c>
      <c r="M15" s="6" t="s">
        <v>37</v>
      </c>
      <c r="N15" s="6" t="s">
        <v>37</v>
      </c>
      <c r="O15" s="6" t="s">
        <v>37</v>
      </c>
      <c r="P15" s="6" t="s">
        <v>105</v>
      </c>
    </row>
    <row r="16" ht="165" customHeight="1" spans="1:16" x14ac:dyDescent="0.25">
      <c r="A16" s="5" t="s">
        <v>106</v>
      </c>
      <c r="B16" s="5" t="s">
        <v>27</v>
      </c>
      <c r="C16" s="5" t="s">
        <v>28</v>
      </c>
      <c r="D16" s="6" t="s">
        <v>48</v>
      </c>
      <c r="E16" s="6" t="s">
        <v>107</v>
      </c>
      <c r="F16" s="6" t="s">
        <v>108</v>
      </c>
      <c r="G16" s="6" t="s">
        <v>32</v>
      </c>
      <c r="H16" s="6" t="s">
        <v>109</v>
      </c>
      <c r="I16" s="6" t="s">
        <v>110</v>
      </c>
      <c r="J16" s="6" t="s">
        <v>111</v>
      </c>
      <c r="K16" s="5" t="s">
        <v>36</v>
      </c>
      <c r="L16" s="5" t="s">
        <v>6</v>
      </c>
      <c r="M16" s="6" t="s">
        <v>37</v>
      </c>
      <c r="N16" s="6" t="s">
        <v>37</v>
      </c>
      <c r="O16" s="6" t="s">
        <v>37</v>
      </c>
      <c r="P16" s="6" t="s">
        <v>37</v>
      </c>
    </row>
    <row r="17" ht="165" customHeight="1" spans="1:16" x14ac:dyDescent="0.25">
      <c r="A17" s="5" t="s">
        <v>112</v>
      </c>
      <c r="B17" s="5" t="s">
        <v>27</v>
      </c>
      <c r="C17" s="5" t="s">
        <v>113</v>
      </c>
      <c r="D17" s="6" t="s">
        <v>93</v>
      </c>
      <c r="E17" s="6" t="s">
        <v>114</v>
      </c>
      <c r="F17" s="6" t="s">
        <v>115</v>
      </c>
      <c r="G17" s="6" t="s">
        <v>32</v>
      </c>
      <c r="H17" s="6" t="s">
        <v>116</v>
      </c>
      <c r="I17" s="6" t="s">
        <v>117</v>
      </c>
      <c r="J17" s="6" t="s">
        <v>118</v>
      </c>
      <c r="K17" s="5" t="s">
        <v>4</v>
      </c>
      <c r="L17" s="5" t="s">
        <v>6</v>
      </c>
      <c r="M17" s="6" t="s">
        <v>37</v>
      </c>
      <c r="N17" s="6" t="s">
        <v>37</v>
      </c>
      <c r="O17" s="6" t="s">
        <v>37</v>
      </c>
      <c r="P17" s="6" t="s">
        <v>119</v>
      </c>
    </row>
    <row r="18" ht="150" customHeight="1" spans="1:16" x14ac:dyDescent="0.25">
      <c r="A18" s="5" t="s">
        <v>120</v>
      </c>
      <c r="B18" s="5" t="s">
        <v>121</v>
      </c>
      <c r="C18" s="5" t="s">
        <v>28</v>
      </c>
      <c r="D18" s="6" t="s">
        <v>122</v>
      </c>
      <c r="E18" s="6" t="s">
        <v>123</v>
      </c>
      <c r="F18" s="6" t="s">
        <v>124</v>
      </c>
      <c r="G18" s="6" t="s">
        <v>32</v>
      </c>
      <c r="H18" s="6" t="s">
        <v>125</v>
      </c>
      <c r="I18" s="6" t="s">
        <v>126</v>
      </c>
      <c r="J18" s="6" t="s">
        <v>127</v>
      </c>
      <c r="K18" s="5" t="s">
        <v>36</v>
      </c>
      <c r="L18" s="5" t="s">
        <v>6</v>
      </c>
      <c r="M18" s="6" t="s">
        <v>37</v>
      </c>
      <c r="N18" s="6" t="s">
        <v>37</v>
      </c>
      <c r="O18" s="6" t="s">
        <v>37</v>
      </c>
      <c r="P18" s="6" t="s">
        <v>128</v>
      </c>
    </row>
    <row r="19" ht="90" customHeight="1" spans="1:16" x14ac:dyDescent="0.25">
      <c r="A19" s="5" t="s">
        <v>129</v>
      </c>
      <c r="B19" s="5" t="s">
        <v>121</v>
      </c>
      <c r="C19" s="5" t="s">
        <v>55</v>
      </c>
      <c r="D19" s="6" t="s">
        <v>122</v>
      </c>
      <c r="E19" s="6" t="s">
        <v>130</v>
      </c>
      <c r="F19" s="6" t="s">
        <v>131</v>
      </c>
      <c r="G19" s="6" t="s">
        <v>32</v>
      </c>
      <c r="H19" s="6" t="s">
        <v>132</v>
      </c>
      <c r="I19" s="6" t="s">
        <v>133</v>
      </c>
      <c r="J19" s="6" t="s">
        <v>134</v>
      </c>
      <c r="K19" s="5" t="s">
        <v>36</v>
      </c>
      <c r="L19" s="5" t="s">
        <v>6</v>
      </c>
      <c r="M19" s="6" t="s">
        <v>37</v>
      </c>
      <c r="N19" s="6" t="s">
        <v>37</v>
      </c>
      <c r="O19" s="6" t="s">
        <v>37</v>
      </c>
      <c r="P19" s="6" t="s">
        <v>37</v>
      </c>
    </row>
    <row r="20" ht="150" customHeight="1" spans="1:16" x14ac:dyDescent="0.25">
      <c r="A20" s="5" t="s">
        <v>135</v>
      </c>
      <c r="B20" s="5" t="s">
        <v>121</v>
      </c>
      <c r="C20" s="5" t="s">
        <v>2</v>
      </c>
      <c r="D20" s="6" t="s">
        <v>122</v>
      </c>
      <c r="E20" s="6" t="s">
        <v>136</v>
      </c>
      <c r="F20" s="6" t="s">
        <v>137</v>
      </c>
      <c r="G20" s="6" t="s">
        <v>32</v>
      </c>
      <c r="H20" s="6" t="s">
        <v>138</v>
      </c>
      <c r="I20" s="6" t="s">
        <v>139</v>
      </c>
      <c r="J20" s="6" t="s">
        <v>140</v>
      </c>
      <c r="K20" s="5" t="s">
        <v>36</v>
      </c>
      <c r="L20" s="5" t="s">
        <v>6</v>
      </c>
      <c r="M20" s="6" t="s">
        <v>37</v>
      </c>
      <c r="N20" s="6" t="s">
        <v>37</v>
      </c>
      <c r="O20" s="6" t="s">
        <v>37</v>
      </c>
      <c r="P20" s="6" t="s">
        <v>141</v>
      </c>
    </row>
    <row r="21" ht="150" customHeight="1" spans="1:16" x14ac:dyDescent="0.25">
      <c r="A21" s="5" t="s">
        <v>142</v>
      </c>
      <c r="B21" s="5" t="s">
        <v>121</v>
      </c>
      <c r="C21" s="5" t="s">
        <v>55</v>
      </c>
      <c r="D21" s="6" t="s">
        <v>122</v>
      </c>
      <c r="E21" s="6" t="s">
        <v>143</v>
      </c>
      <c r="F21" s="6" t="s">
        <v>144</v>
      </c>
      <c r="G21" s="6" t="s">
        <v>32</v>
      </c>
      <c r="H21" s="6" t="s">
        <v>145</v>
      </c>
      <c r="I21" s="6" t="s">
        <v>146</v>
      </c>
      <c r="J21" s="6" t="s">
        <v>147</v>
      </c>
      <c r="K21" s="5" t="s">
        <v>36</v>
      </c>
      <c r="L21" s="5" t="s">
        <v>6</v>
      </c>
      <c r="M21" s="6" t="s">
        <v>37</v>
      </c>
      <c r="N21" s="6" t="s">
        <v>37</v>
      </c>
      <c r="O21" s="6" t="s">
        <v>37</v>
      </c>
      <c r="P21" s="6" t="s">
        <v>37</v>
      </c>
    </row>
    <row r="22" ht="165" customHeight="1" spans="1:16" x14ac:dyDescent="0.25">
      <c r="A22" s="5" t="s">
        <v>148</v>
      </c>
      <c r="B22" s="5" t="s">
        <v>121</v>
      </c>
      <c r="C22" s="5" t="s">
        <v>2</v>
      </c>
      <c r="D22" s="6" t="s">
        <v>29</v>
      </c>
      <c r="E22" s="6" t="s">
        <v>149</v>
      </c>
      <c r="F22" s="6" t="s">
        <v>150</v>
      </c>
      <c r="G22" s="6" t="s">
        <v>32</v>
      </c>
      <c r="H22" s="6" t="s">
        <v>151</v>
      </c>
      <c r="I22" s="6" t="s">
        <v>152</v>
      </c>
      <c r="J22" s="6" t="s">
        <v>153</v>
      </c>
      <c r="K22" s="5" t="s">
        <v>36</v>
      </c>
      <c r="L22" s="5" t="s">
        <v>6</v>
      </c>
      <c r="M22" s="6" t="s">
        <v>37</v>
      </c>
      <c r="N22" s="6" t="s">
        <v>37</v>
      </c>
      <c r="O22" s="6" t="s">
        <v>37</v>
      </c>
      <c r="P22" s="6" t="s">
        <v>154</v>
      </c>
    </row>
    <row r="23" ht="150" customHeight="1" spans="1:16" x14ac:dyDescent="0.25">
      <c r="A23" s="5" t="s">
        <v>155</v>
      </c>
      <c r="B23" s="5" t="s">
        <v>121</v>
      </c>
      <c r="C23" s="5" t="s">
        <v>28</v>
      </c>
      <c r="D23" s="6" t="s">
        <v>122</v>
      </c>
      <c r="E23" s="6" t="s">
        <v>156</v>
      </c>
      <c r="F23" s="6" t="s">
        <v>157</v>
      </c>
      <c r="G23" s="6" t="s">
        <v>158</v>
      </c>
      <c r="H23" s="6" t="s">
        <v>159</v>
      </c>
      <c r="I23" s="6" t="s">
        <v>160</v>
      </c>
      <c r="J23" s="6" t="s">
        <v>161</v>
      </c>
      <c r="K23" s="5" t="s">
        <v>36</v>
      </c>
      <c r="L23" s="5" t="s">
        <v>6</v>
      </c>
      <c r="M23" s="6" t="s">
        <v>37</v>
      </c>
      <c r="N23" s="6" t="s">
        <v>37</v>
      </c>
      <c r="O23" s="6" t="s">
        <v>37</v>
      </c>
      <c r="P23" s="6" t="s">
        <v>37</v>
      </c>
    </row>
    <row r="24" ht="150" customHeight="1" spans="1:16" x14ac:dyDescent="0.25">
      <c r="A24" s="5" t="s">
        <v>162</v>
      </c>
      <c r="B24" s="5" t="s">
        <v>121</v>
      </c>
      <c r="C24" s="5" t="s">
        <v>55</v>
      </c>
      <c r="D24" s="6" t="s">
        <v>122</v>
      </c>
      <c r="E24" s="6" t="s">
        <v>163</v>
      </c>
      <c r="F24" s="6" t="s">
        <v>164</v>
      </c>
      <c r="G24" s="6" t="s">
        <v>32</v>
      </c>
      <c r="H24" s="6" t="s">
        <v>165</v>
      </c>
      <c r="I24" s="6" t="s">
        <v>166</v>
      </c>
      <c r="J24" s="6" t="s">
        <v>167</v>
      </c>
      <c r="K24" s="5" t="s">
        <v>36</v>
      </c>
      <c r="L24" s="5" t="s">
        <v>6</v>
      </c>
      <c r="M24" s="6" t="s">
        <v>37</v>
      </c>
      <c r="N24" s="6" t="s">
        <v>37</v>
      </c>
      <c r="O24" s="6" t="s">
        <v>37</v>
      </c>
      <c r="P24" s="6" t="s">
        <v>168</v>
      </c>
    </row>
    <row r="25" ht="180" customHeight="1" spans="1:16" x14ac:dyDescent="0.25">
      <c r="A25" s="5" t="s">
        <v>169</v>
      </c>
      <c r="B25" s="5" t="s">
        <v>121</v>
      </c>
      <c r="C25" s="5" t="s">
        <v>28</v>
      </c>
      <c r="D25" s="6" t="s">
        <v>122</v>
      </c>
      <c r="E25" s="6" t="s">
        <v>170</v>
      </c>
      <c r="F25" s="6" t="s">
        <v>171</v>
      </c>
      <c r="G25" s="6" t="s">
        <v>32</v>
      </c>
      <c r="H25" s="6" t="s">
        <v>172</v>
      </c>
      <c r="I25" s="6" t="s">
        <v>173</v>
      </c>
      <c r="J25" s="6" t="s">
        <v>174</v>
      </c>
      <c r="K25" s="5" t="s">
        <v>36</v>
      </c>
      <c r="L25" s="5" t="s">
        <v>6</v>
      </c>
      <c r="M25" s="6" t="s">
        <v>37</v>
      </c>
      <c r="N25" s="6" t="s">
        <v>37</v>
      </c>
      <c r="O25" s="6" t="s">
        <v>37</v>
      </c>
      <c r="P25" s="6" t="s">
        <v>37</v>
      </c>
    </row>
    <row r="26" ht="135" customHeight="1" spans="1:16" x14ac:dyDescent="0.25">
      <c r="A26" s="5" t="s">
        <v>175</v>
      </c>
      <c r="B26" s="5" t="s">
        <v>121</v>
      </c>
      <c r="C26" s="5" t="s">
        <v>28</v>
      </c>
      <c r="D26" s="6" t="s">
        <v>122</v>
      </c>
      <c r="E26" s="6" t="s">
        <v>176</v>
      </c>
      <c r="F26" s="6" t="s">
        <v>177</v>
      </c>
      <c r="G26" s="6" t="s">
        <v>32</v>
      </c>
      <c r="H26" s="6" t="s">
        <v>178</v>
      </c>
      <c r="I26" s="6" t="s">
        <v>179</v>
      </c>
      <c r="J26" s="6" t="s">
        <v>180</v>
      </c>
      <c r="K26" s="5" t="s">
        <v>36</v>
      </c>
      <c r="L26" s="5" t="s">
        <v>6</v>
      </c>
      <c r="M26" s="6" t="s">
        <v>37</v>
      </c>
      <c r="N26" s="6" t="s">
        <v>37</v>
      </c>
      <c r="O26" s="6" t="s">
        <v>37</v>
      </c>
      <c r="P26" s="6" t="s">
        <v>37</v>
      </c>
    </row>
    <row r="27" ht="195" customHeight="1" spans="1:16" x14ac:dyDescent="0.25">
      <c r="A27" s="5" t="s">
        <v>181</v>
      </c>
      <c r="B27" s="5" t="s">
        <v>121</v>
      </c>
      <c r="C27" s="5" t="s">
        <v>28</v>
      </c>
      <c r="D27" s="6" t="s">
        <v>122</v>
      </c>
      <c r="E27" s="6" t="s">
        <v>182</v>
      </c>
      <c r="F27" s="6" t="s">
        <v>183</v>
      </c>
      <c r="G27" s="6" t="s">
        <v>32</v>
      </c>
      <c r="H27" s="6" t="s">
        <v>184</v>
      </c>
      <c r="I27" s="6" t="s">
        <v>185</v>
      </c>
      <c r="J27" s="6" t="s">
        <v>186</v>
      </c>
      <c r="K27" s="5" t="s">
        <v>36</v>
      </c>
      <c r="L27" s="5" t="s">
        <v>6</v>
      </c>
      <c r="M27" s="6" t="s">
        <v>37</v>
      </c>
      <c r="N27" s="6" t="s">
        <v>37</v>
      </c>
      <c r="O27" s="6" t="s">
        <v>37</v>
      </c>
      <c r="P27" s="6" t="s">
        <v>187</v>
      </c>
    </row>
    <row r="28" ht="135" customHeight="1" spans="1:16" x14ac:dyDescent="0.25">
      <c r="A28" s="5" t="s">
        <v>188</v>
      </c>
      <c r="B28" s="5" t="s">
        <v>121</v>
      </c>
      <c r="C28" s="5" t="s">
        <v>28</v>
      </c>
      <c r="D28" s="6" t="s">
        <v>122</v>
      </c>
      <c r="E28" s="6" t="s">
        <v>189</v>
      </c>
      <c r="F28" s="6" t="s">
        <v>190</v>
      </c>
      <c r="G28" s="6" t="s">
        <v>32</v>
      </c>
      <c r="H28" s="6" t="s">
        <v>191</v>
      </c>
      <c r="I28" s="6" t="s">
        <v>192</v>
      </c>
      <c r="J28" s="6" t="s">
        <v>193</v>
      </c>
      <c r="K28" s="5" t="s">
        <v>36</v>
      </c>
      <c r="L28" s="5" t="s">
        <v>6</v>
      </c>
      <c r="M28" s="6" t="s">
        <v>37</v>
      </c>
      <c r="N28" s="6" t="s">
        <v>37</v>
      </c>
      <c r="O28" s="6" t="s">
        <v>37</v>
      </c>
      <c r="P28" s="6" t="s">
        <v>37</v>
      </c>
    </row>
    <row r="29" ht="180" customHeight="1" spans="1:16" x14ac:dyDescent="0.25">
      <c r="A29" s="5" t="s">
        <v>194</v>
      </c>
      <c r="B29" s="5" t="s">
        <v>121</v>
      </c>
      <c r="C29" s="5" t="s">
        <v>55</v>
      </c>
      <c r="D29" s="6" t="s">
        <v>29</v>
      </c>
      <c r="E29" s="6" t="s">
        <v>195</v>
      </c>
      <c r="F29" s="6" t="s">
        <v>196</v>
      </c>
      <c r="G29" s="6" t="s">
        <v>32</v>
      </c>
      <c r="H29" s="6" t="s">
        <v>197</v>
      </c>
      <c r="I29" s="6" t="s">
        <v>198</v>
      </c>
      <c r="J29" s="6" t="s">
        <v>199</v>
      </c>
      <c r="K29" s="5" t="s">
        <v>4</v>
      </c>
      <c r="L29" s="5" t="s">
        <v>6</v>
      </c>
      <c r="M29" s="6" t="s">
        <v>37</v>
      </c>
      <c r="N29" s="6" t="s">
        <v>37</v>
      </c>
      <c r="O29" s="6" t="s">
        <v>37</v>
      </c>
      <c r="P29" s="6" t="s">
        <v>200</v>
      </c>
    </row>
    <row r="30" ht="165" customHeight="1" spans="1:16" x14ac:dyDescent="0.25">
      <c r="A30" s="5" t="s">
        <v>201</v>
      </c>
      <c r="B30" s="5" t="s">
        <v>121</v>
      </c>
      <c r="C30" s="5" t="s">
        <v>55</v>
      </c>
      <c r="D30" s="6" t="s">
        <v>122</v>
      </c>
      <c r="E30" s="6" t="s">
        <v>202</v>
      </c>
      <c r="F30" s="6" t="s">
        <v>203</v>
      </c>
      <c r="G30" s="6" t="s">
        <v>32</v>
      </c>
      <c r="H30" s="6" t="s">
        <v>204</v>
      </c>
      <c r="I30" s="6" t="s">
        <v>205</v>
      </c>
      <c r="J30" s="6" t="s">
        <v>206</v>
      </c>
      <c r="K30" s="5" t="s">
        <v>36</v>
      </c>
      <c r="L30" s="5" t="s">
        <v>6</v>
      </c>
      <c r="M30" s="6" t="s">
        <v>37</v>
      </c>
      <c r="N30" s="6" t="s">
        <v>37</v>
      </c>
      <c r="O30" s="6" t="s">
        <v>37</v>
      </c>
      <c r="P30" s="6" t="s">
        <v>207</v>
      </c>
    </row>
    <row r="31" ht="150" customHeight="1" spans="1:16" x14ac:dyDescent="0.25">
      <c r="A31" s="5" t="s">
        <v>208</v>
      </c>
      <c r="B31" s="5" t="s">
        <v>121</v>
      </c>
      <c r="C31" s="5" t="s">
        <v>28</v>
      </c>
      <c r="D31" s="6" t="s">
        <v>29</v>
      </c>
      <c r="E31" s="6" t="s">
        <v>209</v>
      </c>
      <c r="F31" s="6" t="s">
        <v>210</v>
      </c>
      <c r="G31" s="6" t="s">
        <v>32</v>
      </c>
      <c r="H31" s="6" t="s">
        <v>211</v>
      </c>
      <c r="I31" s="6" t="s">
        <v>212</v>
      </c>
      <c r="J31" s="6" t="s">
        <v>213</v>
      </c>
      <c r="K31" s="5" t="s">
        <v>36</v>
      </c>
      <c r="L31" s="5" t="s">
        <v>6</v>
      </c>
      <c r="M31" s="6" t="s">
        <v>37</v>
      </c>
      <c r="N31" s="6" t="s">
        <v>37</v>
      </c>
      <c r="O31" s="6" t="s">
        <v>37</v>
      </c>
      <c r="P31" s="6" t="s">
        <v>37</v>
      </c>
    </row>
    <row r="32" ht="150" customHeight="1" spans="1:16" x14ac:dyDescent="0.25">
      <c r="A32" s="5" t="s">
        <v>214</v>
      </c>
      <c r="B32" s="5" t="s">
        <v>121</v>
      </c>
      <c r="C32" s="5" t="s">
        <v>28</v>
      </c>
      <c r="D32" s="6" t="s">
        <v>122</v>
      </c>
      <c r="E32" s="6" t="s">
        <v>215</v>
      </c>
      <c r="F32" s="6" t="s">
        <v>216</v>
      </c>
      <c r="G32" s="6" t="s">
        <v>32</v>
      </c>
      <c r="H32" s="6" t="s">
        <v>217</v>
      </c>
      <c r="I32" s="6" t="s">
        <v>218</v>
      </c>
      <c r="J32" s="6" t="s">
        <v>219</v>
      </c>
      <c r="K32" s="5" t="s">
        <v>36</v>
      </c>
      <c r="L32" s="5" t="s">
        <v>6</v>
      </c>
      <c r="M32" s="6" t="s">
        <v>37</v>
      </c>
      <c r="N32" s="6" t="s">
        <v>37</v>
      </c>
      <c r="O32" s="6" t="s">
        <v>37</v>
      </c>
      <c r="P32" s="6" t="s">
        <v>37</v>
      </c>
    </row>
    <row r="33" ht="165" customHeight="1" spans="1:16" x14ac:dyDescent="0.25">
      <c r="A33" s="5" t="s">
        <v>220</v>
      </c>
      <c r="B33" s="5" t="s">
        <v>121</v>
      </c>
      <c r="C33" s="5" t="s">
        <v>55</v>
      </c>
      <c r="D33" s="6" t="s">
        <v>122</v>
      </c>
      <c r="E33" s="6" t="s">
        <v>221</v>
      </c>
      <c r="F33" s="6" t="s">
        <v>222</v>
      </c>
      <c r="G33" s="6" t="s">
        <v>32</v>
      </c>
      <c r="H33" s="6" t="s">
        <v>223</v>
      </c>
      <c r="I33" s="6" t="s">
        <v>224</v>
      </c>
      <c r="J33" s="6" t="s">
        <v>225</v>
      </c>
      <c r="K33" s="5" t="s">
        <v>4</v>
      </c>
      <c r="L33" s="5" t="s">
        <v>6</v>
      </c>
      <c r="M33" s="6" t="s">
        <v>37</v>
      </c>
      <c r="N33" s="6" t="s">
        <v>37</v>
      </c>
      <c r="O33" s="6" t="s">
        <v>37</v>
      </c>
      <c r="P33" s="6" t="s">
        <v>226</v>
      </c>
    </row>
    <row r="34" ht="165" customHeight="1" spans="1:16" x14ac:dyDescent="0.25">
      <c r="A34" s="5" t="s">
        <v>227</v>
      </c>
      <c r="B34" s="5" t="s">
        <v>121</v>
      </c>
      <c r="C34" s="5" t="s">
        <v>55</v>
      </c>
      <c r="D34" s="6" t="s">
        <v>122</v>
      </c>
      <c r="E34" s="6" t="s">
        <v>228</v>
      </c>
      <c r="F34" s="6" t="s">
        <v>229</v>
      </c>
      <c r="G34" s="6" t="s">
        <v>32</v>
      </c>
      <c r="H34" s="6" t="s">
        <v>230</v>
      </c>
      <c r="I34" s="6" t="s">
        <v>231</v>
      </c>
      <c r="J34" s="6" t="s">
        <v>232</v>
      </c>
      <c r="K34" s="5" t="s">
        <v>36</v>
      </c>
      <c r="L34" s="5" t="s">
        <v>6</v>
      </c>
      <c r="M34" s="6" t="s">
        <v>37</v>
      </c>
      <c r="N34" s="6" t="s">
        <v>37</v>
      </c>
      <c r="O34" s="6" t="s">
        <v>37</v>
      </c>
      <c r="P34" s="6" t="s">
        <v>37</v>
      </c>
    </row>
    <row r="35" ht="195" customHeight="1" spans="1:16" x14ac:dyDescent="0.25">
      <c r="A35" s="5" t="s">
        <v>233</v>
      </c>
      <c r="B35" s="5" t="s">
        <v>121</v>
      </c>
      <c r="C35" s="5" t="s">
        <v>28</v>
      </c>
      <c r="D35" s="6" t="s">
        <v>122</v>
      </c>
      <c r="E35" s="6" t="s">
        <v>234</v>
      </c>
      <c r="F35" s="6" t="s">
        <v>235</v>
      </c>
      <c r="G35" s="6" t="s">
        <v>32</v>
      </c>
      <c r="H35" s="6" t="s">
        <v>236</v>
      </c>
      <c r="I35" s="6" t="s">
        <v>237</v>
      </c>
      <c r="J35" s="6" t="s">
        <v>238</v>
      </c>
      <c r="K35" s="5" t="s">
        <v>5</v>
      </c>
      <c r="L35" s="5" t="s">
        <v>6</v>
      </c>
      <c r="M35" s="6" t="s">
        <v>37</v>
      </c>
      <c r="N35" s="6" t="s">
        <v>37</v>
      </c>
      <c r="O35" s="6" t="s">
        <v>37</v>
      </c>
      <c r="P35" s="6" t="s">
        <v>239</v>
      </c>
    </row>
    <row r="36" ht="165" customHeight="1" spans="1:16" x14ac:dyDescent="0.25">
      <c r="A36" s="5" t="s">
        <v>240</v>
      </c>
      <c r="B36" s="5" t="s">
        <v>241</v>
      </c>
      <c r="C36" s="5" t="s">
        <v>28</v>
      </c>
      <c r="D36" s="6" t="s">
        <v>93</v>
      </c>
      <c r="E36" s="6" t="s">
        <v>242</v>
      </c>
      <c r="F36" s="6" t="s">
        <v>243</v>
      </c>
      <c r="G36" s="6" t="s">
        <v>244</v>
      </c>
      <c r="H36" s="6" t="s">
        <v>245</v>
      </c>
      <c r="I36" s="6" t="s">
        <v>246</v>
      </c>
      <c r="J36" s="6" t="s">
        <v>247</v>
      </c>
      <c r="K36" s="5" t="s">
        <v>36</v>
      </c>
      <c r="L36" s="5" t="s">
        <v>6</v>
      </c>
      <c r="M36" s="6" t="s">
        <v>37</v>
      </c>
      <c r="N36" s="6" t="s">
        <v>37</v>
      </c>
      <c r="O36" s="6" t="s">
        <v>37</v>
      </c>
      <c r="P36" s="6" t="s">
        <v>248</v>
      </c>
    </row>
    <row r="37" ht="75" customHeight="1" spans="1:16" x14ac:dyDescent="0.25">
      <c r="A37" s="5" t="s">
        <v>249</v>
      </c>
      <c r="B37" s="5" t="s">
        <v>241</v>
      </c>
      <c r="C37" s="5" t="s">
        <v>28</v>
      </c>
      <c r="D37" s="6" t="s">
        <v>93</v>
      </c>
      <c r="E37" s="6" t="s">
        <v>250</v>
      </c>
      <c r="F37" s="6" t="s">
        <v>251</v>
      </c>
      <c r="G37" s="6" t="s">
        <v>244</v>
      </c>
      <c r="H37" s="6" t="s">
        <v>252</v>
      </c>
      <c r="I37" s="6" t="s">
        <v>253</v>
      </c>
      <c r="J37" s="6" t="s">
        <v>254</v>
      </c>
      <c r="K37" s="5" t="s">
        <v>36</v>
      </c>
      <c r="L37" s="5" t="s">
        <v>6</v>
      </c>
      <c r="M37" s="6" t="s">
        <v>37</v>
      </c>
      <c r="N37" s="6" t="s">
        <v>37</v>
      </c>
      <c r="O37" s="6" t="s">
        <v>37</v>
      </c>
      <c r="P37" s="6" t="s">
        <v>37</v>
      </c>
    </row>
    <row r="38" ht="75" customHeight="1" spans="1:16" x14ac:dyDescent="0.25">
      <c r="A38" s="5" t="s">
        <v>255</v>
      </c>
      <c r="B38" s="5" t="s">
        <v>241</v>
      </c>
      <c r="C38" s="5" t="s">
        <v>2</v>
      </c>
      <c r="D38" s="6" t="s">
        <v>256</v>
      </c>
      <c r="E38" s="6" t="s">
        <v>257</v>
      </c>
      <c r="F38" s="6" t="s">
        <v>251</v>
      </c>
      <c r="G38" s="6" t="s">
        <v>244</v>
      </c>
      <c r="H38" s="6" t="s">
        <v>258</v>
      </c>
      <c r="I38" s="6" t="s">
        <v>259</v>
      </c>
      <c r="J38" s="6" t="s">
        <v>260</v>
      </c>
      <c r="K38" s="5" t="s">
        <v>4</v>
      </c>
      <c r="L38" s="5" t="s">
        <v>6</v>
      </c>
      <c r="M38" s="6" t="s">
        <v>37</v>
      </c>
      <c r="N38" s="6" t="s">
        <v>37</v>
      </c>
      <c r="O38" s="6" t="s">
        <v>37</v>
      </c>
      <c r="P38" s="6" t="s">
        <v>261</v>
      </c>
    </row>
    <row r="39" ht="165" customHeight="1" spans="1:16" x14ac:dyDescent="0.25">
      <c r="A39" s="5" t="s">
        <v>262</v>
      </c>
      <c r="B39" s="5" t="s">
        <v>241</v>
      </c>
      <c r="C39" s="5" t="s">
        <v>2</v>
      </c>
      <c r="D39" s="6" t="s">
        <v>263</v>
      </c>
      <c r="E39" s="6" t="s">
        <v>264</v>
      </c>
      <c r="F39" s="6" t="s">
        <v>251</v>
      </c>
      <c r="G39" s="6" t="s">
        <v>244</v>
      </c>
      <c r="H39" s="6" t="s">
        <v>265</v>
      </c>
      <c r="I39" s="6" t="s">
        <v>266</v>
      </c>
      <c r="J39" s="6" t="s">
        <v>267</v>
      </c>
      <c r="K39" s="5" t="s">
        <v>4</v>
      </c>
      <c r="L39" s="5" t="s">
        <v>6</v>
      </c>
      <c r="M39" s="6" t="s">
        <v>37</v>
      </c>
      <c r="N39" s="6" t="s">
        <v>37</v>
      </c>
      <c r="O39" s="6" t="s">
        <v>37</v>
      </c>
      <c r="P39" s="6" t="s">
        <v>268</v>
      </c>
    </row>
    <row r="40" ht="75" customHeight="1" spans="1:16" x14ac:dyDescent="0.25">
      <c r="A40" s="5" t="s">
        <v>269</v>
      </c>
      <c r="B40" s="5" t="s">
        <v>241</v>
      </c>
      <c r="C40" s="5" t="s">
        <v>55</v>
      </c>
      <c r="D40" s="6" t="s">
        <v>70</v>
      </c>
      <c r="E40" s="6" t="s">
        <v>270</v>
      </c>
      <c r="F40" s="6" t="s">
        <v>271</v>
      </c>
      <c r="G40" s="6" t="s">
        <v>244</v>
      </c>
      <c r="H40" s="6" t="s">
        <v>272</v>
      </c>
      <c r="I40" s="6" t="s">
        <v>273</v>
      </c>
      <c r="J40" s="6" t="s">
        <v>274</v>
      </c>
      <c r="K40" s="5" t="s">
        <v>36</v>
      </c>
      <c r="L40" s="5" t="s">
        <v>6</v>
      </c>
      <c r="M40" s="6" t="s">
        <v>37</v>
      </c>
      <c r="N40" s="6" t="s">
        <v>37</v>
      </c>
      <c r="O40" s="6" t="s">
        <v>37</v>
      </c>
      <c r="P40" s="6" t="s">
        <v>37</v>
      </c>
    </row>
    <row r="41" ht="165" customHeight="1" spans="1:16" x14ac:dyDescent="0.25">
      <c r="A41" s="5" t="s">
        <v>275</v>
      </c>
      <c r="B41" s="5" t="s">
        <v>276</v>
      </c>
      <c r="C41" s="5" t="s">
        <v>2</v>
      </c>
      <c r="D41" s="6" t="s">
        <v>277</v>
      </c>
      <c r="E41" s="6" t="s">
        <v>278</v>
      </c>
      <c r="F41" s="6" t="s">
        <v>279</v>
      </c>
      <c r="G41" s="6" t="s">
        <v>280</v>
      </c>
      <c r="H41" s="6" t="s">
        <v>281</v>
      </c>
      <c r="I41" s="6" t="s">
        <v>282</v>
      </c>
      <c r="J41" s="6" t="s">
        <v>283</v>
      </c>
      <c r="K41" s="5" t="s">
        <v>36</v>
      </c>
      <c r="L41" s="5" t="s">
        <v>6</v>
      </c>
      <c r="M41" s="6" t="s">
        <v>37</v>
      </c>
      <c r="N41" s="6" t="s">
        <v>37</v>
      </c>
      <c r="O41" s="6" t="s">
        <v>37</v>
      </c>
      <c r="P41" s="6" t="s">
        <v>284</v>
      </c>
    </row>
    <row r="42" ht="90" customHeight="1" spans="1:16" x14ac:dyDescent="0.25">
      <c r="A42" s="5" t="s">
        <v>285</v>
      </c>
      <c r="B42" s="5" t="s">
        <v>276</v>
      </c>
      <c r="C42" s="5" t="s">
        <v>28</v>
      </c>
      <c r="D42" s="6" t="s">
        <v>277</v>
      </c>
      <c r="E42" s="6" t="s">
        <v>286</v>
      </c>
      <c r="F42" s="6" t="s">
        <v>287</v>
      </c>
      <c r="G42" s="6" t="s">
        <v>32</v>
      </c>
      <c r="H42" s="6" t="s">
        <v>288</v>
      </c>
      <c r="I42" s="6" t="s">
        <v>289</v>
      </c>
      <c r="J42" s="6" t="s">
        <v>290</v>
      </c>
      <c r="K42" s="5" t="s">
        <v>36</v>
      </c>
      <c r="L42" s="5" t="s">
        <v>6</v>
      </c>
      <c r="M42" s="6" t="s">
        <v>37</v>
      </c>
      <c r="N42" s="6" t="s">
        <v>37</v>
      </c>
      <c r="O42" s="6" t="s">
        <v>37</v>
      </c>
      <c r="P42" s="6" t="s">
        <v>291</v>
      </c>
    </row>
    <row r="43" ht="150" customHeight="1" spans="1:16" x14ac:dyDescent="0.25">
      <c r="A43" s="5" t="s">
        <v>292</v>
      </c>
      <c r="B43" s="5" t="s">
        <v>276</v>
      </c>
      <c r="C43" s="5" t="s">
        <v>28</v>
      </c>
      <c r="D43" s="6" t="s">
        <v>70</v>
      </c>
      <c r="E43" s="6" t="s">
        <v>293</v>
      </c>
      <c r="F43" s="6" t="s">
        <v>294</v>
      </c>
      <c r="G43" s="6" t="s">
        <v>295</v>
      </c>
      <c r="H43" s="6" t="s">
        <v>296</v>
      </c>
      <c r="I43" s="6" t="s">
        <v>297</v>
      </c>
      <c r="J43" s="6" t="s">
        <v>298</v>
      </c>
      <c r="K43" s="5" t="s">
        <v>36</v>
      </c>
      <c r="L43" s="5" t="s">
        <v>6</v>
      </c>
      <c r="M43" s="6" t="s">
        <v>37</v>
      </c>
      <c r="N43" s="6" t="s">
        <v>37</v>
      </c>
      <c r="O43" s="6" t="s">
        <v>37</v>
      </c>
      <c r="P43" s="6" t="s">
        <v>299</v>
      </c>
    </row>
    <row r="44" ht="180" customHeight="1" spans="1:16" x14ac:dyDescent="0.25">
      <c r="A44" s="5" t="s">
        <v>300</v>
      </c>
      <c r="B44" s="5" t="s">
        <v>276</v>
      </c>
      <c r="C44" s="5" t="s">
        <v>28</v>
      </c>
      <c r="D44" s="6" t="s">
        <v>48</v>
      </c>
      <c r="E44" s="6" t="s">
        <v>301</v>
      </c>
      <c r="F44" s="6" t="s">
        <v>302</v>
      </c>
      <c r="G44" s="6" t="s">
        <v>32</v>
      </c>
      <c r="H44" s="6" t="s">
        <v>303</v>
      </c>
      <c r="I44" s="6" t="s">
        <v>304</v>
      </c>
      <c r="J44" s="6" t="s">
        <v>305</v>
      </c>
      <c r="K44" s="5" t="s">
        <v>36</v>
      </c>
      <c r="L44" s="5" t="s">
        <v>6</v>
      </c>
      <c r="M44" s="6" t="s">
        <v>37</v>
      </c>
      <c r="N44" s="6" t="s">
        <v>37</v>
      </c>
      <c r="O44" s="6" t="s">
        <v>37</v>
      </c>
      <c r="P44" s="6" t="s">
        <v>306</v>
      </c>
    </row>
    <row r="45" ht="165" customHeight="1" spans="1:16" x14ac:dyDescent="0.25">
      <c r="A45" s="5" t="s">
        <v>307</v>
      </c>
      <c r="B45" s="5" t="s">
        <v>276</v>
      </c>
      <c r="C45" s="5" t="s">
        <v>28</v>
      </c>
      <c r="D45" s="6" t="s">
        <v>308</v>
      </c>
      <c r="E45" s="6" t="s">
        <v>309</v>
      </c>
      <c r="F45" s="6" t="s">
        <v>310</v>
      </c>
      <c r="G45" s="6" t="s">
        <v>311</v>
      </c>
      <c r="H45" s="6" t="s">
        <v>312</v>
      </c>
      <c r="I45" s="6" t="s">
        <v>313</v>
      </c>
      <c r="J45" s="6" t="s">
        <v>314</v>
      </c>
      <c r="K45" s="5" t="s">
        <v>36</v>
      </c>
      <c r="L45" s="5" t="s">
        <v>6</v>
      </c>
      <c r="M45" s="6" t="s">
        <v>37</v>
      </c>
      <c r="N45" s="6" t="s">
        <v>37</v>
      </c>
      <c r="O45" s="6" t="s">
        <v>37</v>
      </c>
      <c r="P45" s="6" t="s">
        <v>315</v>
      </c>
    </row>
    <row r="46" ht="135" customHeight="1" spans="1:16" x14ac:dyDescent="0.25">
      <c r="A46" s="5" t="s">
        <v>316</v>
      </c>
      <c r="B46" s="5" t="s">
        <v>276</v>
      </c>
      <c r="C46" s="5" t="s">
        <v>55</v>
      </c>
      <c r="D46" s="6" t="s">
        <v>317</v>
      </c>
      <c r="E46" s="6" t="s">
        <v>318</v>
      </c>
      <c r="F46" s="6" t="s">
        <v>319</v>
      </c>
      <c r="G46" s="6" t="s">
        <v>32</v>
      </c>
      <c r="H46" s="6" t="s">
        <v>320</v>
      </c>
      <c r="I46" s="6" t="s">
        <v>321</v>
      </c>
      <c r="J46" s="6" t="s">
        <v>322</v>
      </c>
      <c r="K46" s="5" t="s">
        <v>5</v>
      </c>
      <c r="L46" s="5" t="s">
        <v>6</v>
      </c>
      <c r="M46" s="6" t="s">
        <v>37</v>
      </c>
      <c r="N46" s="6" t="s">
        <v>37</v>
      </c>
      <c r="O46" s="6" t="s">
        <v>37</v>
      </c>
      <c r="P46" s="6" t="s">
        <v>323</v>
      </c>
    </row>
    <row r="47" ht="135" customHeight="1" spans="1:16" x14ac:dyDescent="0.25">
      <c r="A47" s="5" t="s">
        <v>324</v>
      </c>
      <c r="B47" s="5" t="s">
        <v>276</v>
      </c>
      <c r="C47" s="5" t="s">
        <v>113</v>
      </c>
      <c r="D47" s="6" t="s">
        <v>325</v>
      </c>
      <c r="E47" s="6" t="s">
        <v>326</v>
      </c>
      <c r="F47" s="6" t="s">
        <v>327</v>
      </c>
      <c r="G47" s="6" t="s">
        <v>73</v>
      </c>
      <c r="H47" s="6" t="s">
        <v>328</v>
      </c>
      <c r="I47" s="6" t="s">
        <v>329</v>
      </c>
      <c r="J47" s="6" t="s">
        <v>330</v>
      </c>
      <c r="K47" s="5" t="s">
        <v>4</v>
      </c>
      <c r="L47" s="5" t="s">
        <v>6</v>
      </c>
      <c r="M47" s="6" t="s">
        <v>37</v>
      </c>
      <c r="N47" s="6" t="s">
        <v>37</v>
      </c>
      <c r="O47" s="6" t="s">
        <v>37</v>
      </c>
      <c r="P47" s="6" t="s">
        <v>331</v>
      </c>
    </row>
  </sheetData>
  <autoFilter ref="A5:P47"/>
  <mergeCells count="1">
    <mergeCell ref="A1:J1"/>
  </mergeCells>
  <conditionalFormatting sqref="C6:C47">
    <cfRule type="containsText" dxfId="0" priority="1">
      <formula>NOT(ISERROR(SEARCH("P0",C6)))</formula>
    </cfRule>
    <cfRule type="containsText" dxfId="1" priority="2">
      <formula>NOT(ISERROR(SEARCH("P1",C6)))</formula>
    </cfRule>
    <cfRule type="containsText" dxfId="2" priority="3">
      <formula>NOT(ISERROR(SEARCH("P2",C6)))</formula>
    </cfRule>
    <cfRule type="containsText" dxfId="3" priority="4">
      <formula>NOT(ISERROR(SEARCH("P3",C6)))</formula>
    </cfRule>
  </conditionalFormatting>
  <conditionalFormatting sqref="K6:K47">
    <cfRule type="containsText" dxfId="4" priority="1">
      <formula>NOT(ISERROR(SEARCH("작성 완료",K6)))</formula>
    </cfRule>
    <cfRule type="containsText" dxfId="5" priority="2">
      <formula>NOT(ISERROR(SEARCH("기획 확인 필요",K6)))</formula>
    </cfRule>
    <cfRule type="containsText" dxfId="6" priority="3">
      <formula>NOT(ISERROR(SEARCH("개발 확인 필요",K6)))</formula>
    </cfRule>
    <cfRule type="containsText" dxfId="7" priority="4">
      <formula>NOT(ISERROR(SEARCH("구현 후 보완",K6)))</formula>
    </cfRule>
  </conditionalFormatting>
  <conditionalFormatting sqref="L6:L47">
    <cfRule type="containsText" dxfId="8" priority="1">
      <formula>NOT(ISERROR(SEARCH("미실행",L6)))</formula>
    </cfRule>
    <cfRule type="containsText" dxfId="9" priority="2">
      <formula>NOT(ISERROR(SEARCH("통과",L6)))</formula>
    </cfRule>
    <cfRule type="containsText" dxfId="10" priority="3">
      <formula>NOT(ISERROR(SEARCH("실패",L6)))</formula>
    </cfRule>
    <cfRule type="containsText" dxfId="11" priority="4">
      <formula>NOT(ISERROR(SEARCH("보류",L6)))</formula>
    </cfRule>
    <cfRule type="containsText" dxfId="12" priority="5">
      <formula>NOT(ISERROR(SEARCH("N/A",L6)))</formula>
    </cfRule>
  </conditionalFormatting>
  <dataValidations count="4">
    <dataValidation type="list" sqref="K10:K47">
      <formula1>"작성 완료,기획 확인 필요,개발 확인 필요,구현 후 보완"</formula1>
    </dataValidation>
    <dataValidation type="list" sqref="K6:K47">
      <formula1>"작성 완료,기획 확인 필요,개발 확인 필요,구현 후 보완"</formula1>
    </dataValidation>
    <dataValidation type="list" sqref="L10:L47">
      <formula1>"미실행,통과,실패,보류,N/A"</formula1>
    </dataValidation>
    <dataValidation type="list" sqref="L6:L47">
      <formula1>"미실행,통과,실패,보류,N/A"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2" width="14" customWidth="1"/>
    <col min="3" max="3" width="70" customWidth="1"/>
    <col min="4" max="4" width="28" customWidth="1"/>
    <col min="5" max="5" width="12" customWidth="1"/>
    <col min="6" max="6" width="13" customWidth="1"/>
    <col min="7" max="7" width="30" customWidth="1"/>
  </cols>
  <sheetData>
    <row r="1" spans="1:1" x14ac:dyDescent="0.25">
      <c r="A1" s="7" t="s">
        <v>332</v>
      </c>
    </row>
    <row r="2" spans="1:7" x14ac:dyDescent="0.25">
      <c r="A2" s="4" t="s">
        <v>333</v>
      </c>
      <c r="B2" s="4" t="s">
        <v>334</v>
      </c>
      <c r="C2" s="4" t="s">
        <v>335</v>
      </c>
      <c r="D2" s="4" t="s">
        <v>336</v>
      </c>
      <c r="E2" s="4" t="s">
        <v>337</v>
      </c>
      <c r="F2" s="4" t="s">
        <v>338</v>
      </c>
      <c r="G2" s="4" t="s">
        <v>339</v>
      </c>
    </row>
    <row r="3" spans="1:7" x14ac:dyDescent="0.25">
      <c r="A3" s="8" t="s">
        <v>340</v>
      </c>
      <c r="B3" s="8" t="s">
        <v>341</v>
      </c>
      <c r="C3" s="8" t="s">
        <v>342</v>
      </c>
      <c r="D3" s="8" t="s">
        <v>343</v>
      </c>
      <c r="E3" s="8" t="s">
        <v>344</v>
      </c>
      <c r="F3" s="8" t="s">
        <v>345</v>
      </c>
      <c r="G3" s="8" t="s">
        <v>37</v>
      </c>
    </row>
    <row r="4" spans="1:7" x14ac:dyDescent="0.25">
      <c r="A4" s="8" t="s">
        <v>346</v>
      </c>
      <c r="B4" s="8" t="s">
        <v>347</v>
      </c>
      <c r="C4" s="8" t="s">
        <v>348</v>
      </c>
      <c r="D4" s="8" t="s">
        <v>349</v>
      </c>
      <c r="E4" s="8" t="s">
        <v>350</v>
      </c>
      <c r="F4" s="8" t="s">
        <v>351</v>
      </c>
      <c r="G4" s="8" t="s">
        <v>37</v>
      </c>
    </row>
    <row r="5" spans="1:7" x14ac:dyDescent="0.25">
      <c r="A5" s="8" t="s">
        <v>352</v>
      </c>
      <c r="B5" s="8" t="s">
        <v>353</v>
      </c>
      <c r="C5" s="8" t="s">
        <v>354</v>
      </c>
      <c r="D5" s="8" t="s">
        <v>220</v>
      </c>
      <c r="E5" s="8" t="s">
        <v>355</v>
      </c>
      <c r="F5" s="8" t="s">
        <v>351</v>
      </c>
      <c r="G5" s="8" t="s">
        <v>37</v>
      </c>
    </row>
    <row r="6" spans="1:7" x14ac:dyDescent="0.25">
      <c r="A6" s="8" t="s">
        <v>356</v>
      </c>
      <c r="B6" s="8" t="s">
        <v>353</v>
      </c>
      <c r="C6" s="8" t="s">
        <v>357</v>
      </c>
      <c r="D6" s="8" t="s">
        <v>194</v>
      </c>
      <c r="E6" s="8" t="s">
        <v>355</v>
      </c>
      <c r="F6" s="8" t="s">
        <v>351</v>
      </c>
      <c r="G6" s="8" t="s">
        <v>37</v>
      </c>
    </row>
    <row r="7" spans="1:7" x14ac:dyDescent="0.25">
      <c r="A7" s="8" t="s">
        <v>358</v>
      </c>
      <c r="B7" s="8" t="s">
        <v>353</v>
      </c>
      <c r="C7" s="8" t="s">
        <v>359</v>
      </c>
      <c r="D7" s="8" t="s">
        <v>360</v>
      </c>
      <c r="E7" s="8" t="s">
        <v>355</v>
      </c>
      <c r="F7" s="8" t="s">
        <v>351</v>
      </c>
      <c r="G7" s="8" t="s">
        <v>37</v>
      </c>
    </row>
    <row r="8" spans="1:7" x14ac:dyDescent="0.25">
      <c r="A8" s="8" t="s">
        <v>361</v>
      </c>
      <c r="B8" s="8" t="s">
        <v>362</v>
      </c>
      <c r="C8" s="8" t="s">
        <v>363</v>
      </c>
      <c r="D8" s="8" t="s">
        <v>364</v>
      </c>
      <c r="E8" s="8" t="s">
        <v>365</v>
      </c>
      <c r="F8" s="8" t="s">
        <v>351</v>
      </c>
      <c r="G8" s="8" t="s">
        <v>366</v>
      </c>
    </row>
    <row r="9" spans="1:7" x14ac:dyDescent="0.25">
      <c r="A9" s="8" t="s">
        <v>367</v>
      </c>
      <c r="B9" s="8" t="s">
        <v>368</v>
      </c>
      <c r="C9" s="8" t="s">
        <v>369</v>
      </c>
      <c r="D9" s="8" t="s">
        <v>370</v>
      </c>
      <c r="E9" s="8" t="s">
        <v>371</v>
      </c>
      <c r="F9" s="8" t="s">
        <v>368</v>
      </c>
      <c r="G9" s="8" t="s">
        <v>37</v>
      </c>
    </row>
    <row r="10" spans="1:7" x14ac:dyDescent="0.25">
      <c r="A10" s="8" t="s">
        <v>372</v>
      </c>
      <c r="B10" s="8" t="s">
        <v>368</v>
      </c>
      <c r="C10" s="8" t="s">
        <v>373</v>
      </c>
      <c r="D10" s="8" t="s">
        <v>374</v>
      </c>
      <c r="E10" s="8" t="s">
        <v>371</v>
      </c>
      <c r="F10" s="8" t="s">
        <v>368</v>
      </c>
      <c r="G10" s="8" t="s">
        <v>37</v>
      </c>
    </row>
    <row r="11" spans="1:7" x14ac:dyDescent="0.25">
      <c r="A11" s="8" t="s">
        <v>375</v>
      </c>
      <c r="B11" s="8" t="s">
        <v>353</v>
      </c>
      <c r="C11" s="8" t="s">
        <v>376</v>
      </c>
      <c r="D11" s="8" t="s">
        <v>112</v>
      </c>
      <c r="E11" s="8" t="s">
        <v>355</v>
      </c>
      <c r="F11" s="8" t="s">
        <v>351</v>
      </c>
      <c r="G11" s="8" t="s">
        <v>37</v>
      </c>
    </row>
    <row r="12" spans="1:7" x14ac:dyDescent="0.25">
      <c r="A12" s="8" t="s">
        <v>377</v>
      </c>
      <c r="B12" s="8" t="s">
        <v>378</v>
      </c>
      <c r="C12" s="8" t="s">
        <v>379</v>
      </c>
      <c r="D12" s="8" t="s">
        <v>380</v>
      </c>
      <c r="E12" s="8" t="s">
        <v>350</v>
      </c>
      <c r="F12" s="8" t="s">
        <v>351</v>
      </c>
      <c r="G12" s="8" t="s">
        <v>37</v>
      </c>
    </row>
    <row r="13" spans="1:7" x14ac:dyDescent="0.25">
      <c r="A13" s="8" t="s">
        <v>381</v>
      </c>
      <c r="B13" s="8" t="s">
        <v>353</v>
      </c>
      <c r="C13" s="8" t="s">
        <v>382</v>
      </c>
      <c r="D13" s="8" t="s">
        <v>324</v>
      </c>
      <c r="E13" s="8" t="s">
        <v>355</v>
      </c>
      <c r="F13" s="8" t="s">
        <v>351</v>
      </c>
      <c r="G13" s="8" t="s">
        <v>37</v>
      </c>
    </row>
    <row r="15" spans="1:1" x14ac:dyDescent="0.25">
      <c r="A15" s="7" t="s">
        <v>383</v>
      </c>
    </row>
    <row r="16" spans="1:5" x14ac:dyDescent="0.25">
      <c r="A16" s="4" t="s">
        <v>334</v>
      </c>
      <c r="B16" s="4" t="s">
        <v>384</v>
      </c>
      <c r="C16" s="4" t="s">
        <v>385</v>
      </c>
      <c r="D16" s="4" t="s">
        <v>386</v>
      </c>
      <c r="E16" s="4" t="s">
        <v>25</v>
      </c>
    </row>
    <row r="17" spans="1:5" x14ac:dyDescent="0.25">
      <c r="A17" s="8" t="s">
        <v>387</v>
      </c>
      <c r="B17" s="8" t="s">
        <v>388</v>
      </c>
      <c r="C17" s="8" t="s">
        <v>389</v>
      </c>
      <c r="D17" s="8" t="s">
        <v>390</v>
      </c>
      <c r="E17" s="8" t="s">
        <v>391</v>
      </c>
    </row>
    <row r="18" spans="1:5" x14ac:dyDescent="0.25">
      <c r="A18" s="8" t="s">
        <v>392</v>
      </c>
      <c r="B18" s="8" t="s">
        <v>393</v>
      </c>
      <c r="C18" s="8" t="s">
        <v>394</v>
      </c>
      <c r="D18" s="8" t="s">
        <v>395</v>
      </c>
      <c r="E18" s="8" t="s">
        <v>37</v>
      </c>
    </row>
    <row r="19" spans="1:5" x14ac:dyDescent="0.25">
      <c r="A19" s="8" t="s">
        <v>396</v>
      </c>
      <c r="B19" s="8" t="s">
        <v>397</v>
      </c>
      <c r="C19" s="8" t="s">
        <v>398</v>
      </c>
      <c r="D19" s="8" t="s">
        <v>399</v>
      </c>
      <c r="E19" s="8" t="s">
        <v>400</v>
      </c>
    </row>
    <row r="20" spans="1:5" x14ac:dyDescent="0.25">
      <c r="A20" s="8" t="s">
        <v>401</v>
      </c>
      <c r="B20" s="8" t="s">
        <v>402</v>
      </c>
      <c r="C20" s="8" t="s">
        <v>403</v>
      </c>
      <c r="D20" s="8" t="s">
        <v>404</v>
      </c>
      <c r="E20" s="8" t="s">
        <v>37</v>
      </c>
    </row>
    <row r="21" spans="1:5" x14ac:dyDescent="0.25">
      <c r="A21" s="8" t="s">
        <v>405</v>
      </c>
      <c r="B21" s="8" t="s">
        <v>406</v>
      </c>
      <c r="C21" s="8" t="s">
        <v>407</v>
      </c>
      <c r="D21" s="8" t="s">
        <v>408</v>
      </c>
      <c r="E21" s="8" t="s">
        <v>37</v>
      </c>
    </row>
    <row r="22" spans="1:5" x14ac:dyDescent="0.25">
      <c r="A22" s="8" t="s">
        <v>409</v>
      </c>
      <c r="B22" s="8" t="s">
        <v>410</v>
      </c>
      <c r="C22" s="8" t="s">
        <v>411</v>
      </c>
      <c r="D22" s="8" t="s">
        <v>412</v>
      </c>
      <c r="E22" s="8" t="s">
        <v>37</v>
      </c>
    </row>
    <row r="23" spans="1:5" x14ac:dyDescent="0.25">
      <c r="A23" s="8" t="s">
        <v>413</v>
      </c>
      <c r="B23" s="8" t="s">
        <v>414</v>
      </c>
      <c r="C23" s="8" t="s">
        <v>394</v>
      </c>
      <c r="D23" s="8" t="s">
        <v>415</v>
      </c>
      <c r="E23" s="8" t="s">
        <v>416</v>
      </c>
    </row>
    <row r="24" spans="1:5" x14ac:dyDescent="0.25">
      <c r="A24" s="8" t="s">
        <v>417</v>
      </c>
      <c r="B24" s="8" t="s">
        <v>418</v>
      </c>
      <c r="C24" s="8" t="s">
        <v>419</v>
      </c>
      <c r="D24" s="8" t="s">
        <v>420</v>
      </c>
      <c r="E24" s="8" t="s">
        <v>37</v>
      </c>
    </row>
    <row r="26" spans="1:1" x14ac:dyDescent="0.25">
      <c r="A26" s="7" t="s">
        <v>421</v>
      </c>
    </row>
    <row r="27" spans="1:3" x14ac:dyDescent="0.25">
      <c r="A27" s="4" t="s">
        <v>334</v>
      </c>
      <c r="B27" s="4" t="s">
        <v>422</v>
      </c>
      <c r="C27" s="4" t="s">
        <v>423</v>
      </c>
    </row>
    <row r="28" spans="1:3" x14ac:dyDescent="0.25">
      <c r="A28" s="8" t="s">
        <v>424</v>
      </c>
      <c r="B28" s="8" t="s">
        <v>425</v>
      </c>
      <c r="C28" s="8" t="s">
        <v>426</v>
      </c>
    </row>
    <row r="29" spans="1:3" x14ac:dyDescent="0.25">
      <c r="A29" s="8" t="s">
        <v>424</v>
      </c>
      <c r="B29" s="8" t="s">
        <v>427</v>
      </c>
      <c r="C29" s="8" t="s">
        <v>428</v>
      </c>
    </row>
    <row r="30" spans="1:3" x14ac:dyDescent="0.25">
      <c r="A30" s="8" t="s">
        <v>424</v>
      </c>
      <c r="B30" s="8" t="s">
        <v>429</v>
      </c>
      <c r="C30" s="8" t="s">
        <v>430</v>
      </c>
    </row>
    <row r="31" spans="1:3" x14ac:dyDescent="0.25">
      <c r="A31" s="8" t="s">
        <v>424</v>
      </c>
      <c r="B31" s="8" t="s">
        <v>431</v>
      </c>
      <c r="C31" s="8" t="s">
        <v>432</v>
      </c>
    </row>
    <row r="32" spans="1:3" x14ac:dyDescent="0.25">
      <c r="A32" s="8" t="s">
        <v>424</v>
      </c>
      <c r="B32" s="8" t="s">
        <v>433</v>
      </c>
      <c r="C32" s="8" t="s">
        <v>434</v>
      </c>
    </row>
    <row r="33" spans="1:3" x14ac:dyDescent="0.25">
      <c r="A33" s="8" t="s">
        <v>424</v>
      </c>
      <c r="B33" s="8" t="s">
        <v>435</v>
      </c>
      <c r="C33" s="8" t="s">
        <v>436</v>
      </c>
    </row>
    <row r="34" spans="1:3" x14ac:dyDescent="0.25">
      <c r="A34" s="8" t="s">
        <v>437</v>
      </c>
      <c r="B34" s="8" t="s">
        <v>438</v>
      </c>
      <c r="C34" s="8" t="s">
        <v>439</v>
      </c>
    </row>
    <row r="35" spans="1:3" x14ac:dyDescent="0.25">
      <c r="A35" s="8" t="s">
        <v>440</v>
      </c>
      <c r="B35" s="8" t="s">
        <v>441</v>
      </c>
      <c r="C35" s="8" t="s">
        <v>442</v>
      </c>
    </row>
    <row r="36" spans="1:3" x14ac:dyDescent="0.25">
      <c r="A36" s="8" t="s">
        <v>440</v>
      </c>
      <c r="B36" s="8" t="s">
        <v>443</v>
      </c>
      <c r="C36" s="8" t="s">
        <v>444</v>
      </c>
    </row>
    <row r="37" spans="1:3" x14ac:dyDescent="0.25">
      <c r="A37" s="8" t="s">
        <v>440</v>
      </c>
      <c r="B37" s="8" t="s">
        <v>445</v>
      </c>
      <c r="C37" s="8" t="s">
        <v>446</v>
      </c>
    </row>
    <row r="39" spans="1:1" x14ac:dyDescent="0.25">
      <c r="A39" s="7" t="s">
        <v>447</v>
      </c>
    </row>
    <row r="40" spans="1:3" x14ac:dyDescent="0.25">
      <c r="A40" s="4" t="s">
        <v>448</v>
      </c>
      <c r="B40" s="4" t="s">
        <v>449</v>
      </c>
      <c r="C40" s="4" t="s">
        <v>450</v>
      </c>
    </row>
    <row r="41" spans="1:3" x14ac:dyDescent="0.25">
      <c r="A41" s="8" t="s">
        <v>451</v>
      </c>
      <c r="B41" s="8" t="s">
        <v>452</v>
      </c>
      <c r="C41" s="8" t="s">
        <v>453</v>
      </c>
    </row>
    <row r="42" spans="1:3" x14ac:dyDescent="0.25">
      <c r="A42" s="8" t="s">
        <v>454</v>
      </c>
      <c r="B42" s="8" t="s">
        <v>452</v>
      </c>
      <c r="C42" s="8" t="s">
        <v>455</v>
      </c>
    </row>
    <row r="43" spans="1:3" x14ac:dyDescent="0.25">
      <c r="A43" s="8" t="s">
        <v>456</v>
      </c>
      <c r="B43" s="8" t="s">
        <v>452</v>
      </c>
      <c r="C43" s="8" t="s">
        <v>457</v>
      </c>
    </row>
    <row r="44" spans="1:3" x14ac:dyDescent="0.25">
      <c r="A44" s="8" t="s">
        <v>458</v>
      </c>
      <c r="B44" s="8" t="s">
        <v>452</v>
      </c>
      <c r="C44" s="8" t="s">
        <v>459</v>
      </c>
    </row>
    <row r="45" spans="1:3" x14ac:dyDescent="0.25">
      <c r="A45" s="8" t="s">
        <v>460</v>
      </c>
      <c r="B45" s="8" t="s">
        <v>461</v>
      </c>
      <c r="C45" s="8" t="s">
        <v>462</v>
      </c>
    </row>
    <row r="46" spans="1:3" x14ac:dyDescent="0.25">
      <c r="A46" s="8" t="s">
        <v>463</v>
      </c>
      <c r="B46" s="8" t="s">
        <v>461</v>
      </c>
      <c r="C46" s="8" t="s">
        <v>464</v>
      </c>
    </row>
    <row r="47" spans="1:3" x14ac:dyDescent="0.25">
      <c r="A47" s="8" t="s">
        <v>465</v>
      </c>
      <c r="B47" s="8" t="s">
        <v>452</v>
      </c>
      <c r="C47" s="8" t="s">
        <v>466</v>
      </c>
    </row>
    <row r="48" spans="1:3" x14ac:dyDescent="0.25">
      <c r="A48" s="8" t="s">
        <v>467</v>
      </c>
      <c r="B48" s="8" t="s">
        <v>452</v>
      </c>
      <c r="C48" s="8" t="s">
        <v>468</v>
      </c>
    </row>
    <row r="49" spans="1:3" x14ac:dyDescent="0.25">
      <c r="A49" s="8" t="s">
        <v>469</v>
      </c>
      <c r="B49" s="8" t="s">
        <v>452</v>
      </c>
      <c r="C49" s="8" t="s">
        <v>470</v>
      </c>
    </row>
    <row r="50" spans="1:3" x14ac:dyDescent="0.25">
      <c r="A50" s="8" t="s">
        <v>471</v>
      </c>
      <c r="B50" s="8" t="s">
        <v>452</v>
      </c>
      <c r="C50" s="8" t="s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 실행표</vt:lpstr>
      <vt:lpstr>검토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service-planning</dc:creator>
  <dc:title/>
  <dc:subject/>
  <dc:description/>
  <cp:keywords/>
  <cp:category/>
  <cp:lastModifiedBy>Unknown</cp:lastModifiedBy>
  <dcterms:created xsi:type="dcterms:W3CDTF">2026-10-14T05:35:17Z</dcterms:created>
  <dcterms:modified xsi:type="dcterms:W3CDTF">2026-10-14T05:35:17Z</dcterms:modified>
</cp:coreProperties>
</file>